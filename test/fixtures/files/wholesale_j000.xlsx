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1431\Dropbox\G200 Blinds &amp; Doors\EGSK\QUOTES\"/>
    </mc:Choice>
  </mc:AlternateContent>
  <xr:revisionPtr revIDLastSave="0" documentId="13_ncr:1_{2EC64589-F01C-48F5-A228-CAA1E2A5A5C3}" xr6:coauthVersionLast="47" xr6:coauthVersionMax="47" xr10:uidLastSave="{00000000-0000-0000-0000-000000000000}"/>
  <bookViews>
    <workbookView xWindow="-110" yWindow="-110" windowWidth="19420" windowHeight="10300" activeTab="1" xr2:uid="{CAFD9038-7A96-4107-A2D0-436DB6AF8AC2}"/>
  </bookViews>
  <sheets>
    <sheet name="Quotation" sheetId="4" r:id="rId1"/>
    <sheet name="Measurements" sheetId="1" r:id="rId2"/>
    <sheet name="Curtain Pricing" sheetId="3" r:id="rId3"/>
    <sheet name="Dropdowns" sheetId="5" r:id="rId4"/>
  </sheets>
  <definedNames>
    <definedName name="_xlnm.Print_Area" localSheetId="0">Quotation!$A$1:$G$29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4" l="1"/>
  <c r="E13" i="4"/>
  <c r="E14" i="4"/>
  <c r="E15" i="4"/>
  <c r="E12" i="4"/>
  <c r="A13" i="4"/>
  <c r="A14" i="4"/>
  <c r="A12" i="4"/>
  <c r="J4" i="1" a="1"/>
  <c r="J4" i="1" s="1"/>
  <c r="K4" i="1"/>
  <c r="J5" i="1" a="1"/>
  <c r="J5" i="1" s="1"/>
  <c r="L5" i="1" s="1"/>
  <c r="K5" i="1"/>
  <c r="J3" i="1" a="1"/>
  <c r="J3" i="1" s="1"/>
  <c r="L4" i="1" l="1"/>
  <c r="F13" i="4"/>
  <c r="F14" i="4"/>
  <c r="F12" i="4"/>
  <c r="B13" i="4"/>
  <c r="B14" i="4"/>
  <c r="B12" i="4"/>
  <c r="O5" i="1"/>
  <c r="O6" i="1" s="1"/>
  <c r="L24" i="1" s="1"/>
  <c r="K3" i="1"/>
  <c r="G14" i="4" l="1"/>
  <c r="G13" i="4"/>
  <c r="D9" i="3"/>
  <c r="F9" i="3"/>
  <c r="N9" i="3"/>
  <c r="K10" i="3"/>
  <c r="D12" i="3"/>
  <c r="F8" i="3"/>
  <c r="I8" i="3"/>
  <c r="N11" i="3"/>
  <c r="N12" i="3" l="1"/>
  <c r="J12" i="3"/>
  <c r="F11" i="3"/>
  <c r="M11" i="3"/>
  <c r="E11" i="3"/>
  <c r="I12" i="3"/>
  <c r="D11" i="3"/>
  <c r="L11" i="3"/>
  <c r="H12" i="3"/>
  <c r="K11" i="3"/>
  <c r="G12" i="3"/>
  <c r="J11" i="3"/>
  <c r="F12" i="3"/>
  <c r="I11" i="3"/>
  <c r="E12" i="3"/>
  <c r="H11" i="3"/>
  <c r="G11" i="3"/>
  <c r="B27" i="4"/>
  <c r="L12" i="3" l="1"/>
  <c r="M12" i="3"/>
  <c r="K12" i="3"/>
  <c r="L3" i="1" l="1"/>
  <c r="G12" i="4" s="1"/>
  <c r="G22" i="4" s="1"/>
  <c r="G23" i="4" l="1"/>
  <c r="G24" i="4" s="1"/>
  <c r="L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<sst xmlns="http://schemas.openxmlformats.org/spreadsheetml/2006/main" count="99" uniqueCount="73">
  <si>
    <t>QUOTE #</t>
  </si>
  <si>
    <t>Location</t>
  </si>
  <si>
    <t>Description</t>
  </si>
  <si>
    <t>Total</t>
  </si>
  <si>
    <t>TOTAL (inc. GST)</t>
  </si>
  <si>
    <t xml:space="preserve">Bank Details: </t>
  </si>
  <si>
    <t xml:space="preserve">Reference: </t>
  </si>
  <si>
    <t>Susan: 0431 262 042</t>
  </si>
  <si>
    <t>ABN: 72 682 569 302</t>
  </si>
  <si>
    <t>Name: EGSK</t>
  </si>
  <si>
    <t>BSB: 033-183</t>
  </si>
  <si>
    <t>Acc: 697592</t>
  </si>
  <si>
    <t>Opening</t>
  </si>
  <si>
    <t>Width</t>
  </si>
  <si>
    <t>Drop</t>
  </si>
  <si>
    <t>Product</t>
  </si>
  <si>
    <t>Track</t>
  </si>
  <si>
    <t>Style</t>
  </si>
  <si>
    <t>M</t>
  </si>
  <si>
    <t>Sheer Curtain</t>
  </si>
  <si>
    <t>Pinch Pleat, Cord Drawn, BLOCKOUT</t>
  </si>
  <si>
    <t>S Wave, Hand Draw, BLOCKOUT</t>
  </si>
  <si>
    <t>S Wave, Hand Draw, SHEER</t>
  </si>
  <si>
    <t>Track Price</t>
  </si>
  <si>
    <t>Curtain Price</t>
  </si>
  <si>
    <t>PRICE</t>
  </si>
  <si>
    <t>Width (min-max)</t>
  </si>
  <si>
    <t>Pinch Pleat, Cord drawn, SHEER</t>
  </si>
  <si>
    <t>SHEER CURTAIN</t>
  </si>
  <si>
    <t>BLOCKOUT CURTAIN</t>
  </si>
  <si>
    <r>
      <rPr>
        <b/>
        <sz val="12"/>
        <color rgb="FFFF0000"/>
        <rFont val="Calibri"/>
        <family val="2"/>
        <scheme val="minor"/>
      </rPr>
      <t>To CUSTOMER</t>
    </r>
    <r>
      <rPr>
        <b/>
        <sz val="12"/>
        <color theme="1"/>
        <rFont val="Calibri"/>
        <family val="2"/>
        <scheme val="minor"/>
      </rPr>
      <t xml:space="preserve"> MANUAL TRACK PRICING</t>
    </r>
  </si>
  <si>
    <t>S Wave</t>
  </si>
  <si>
    <t>Fix</t>
  </si>
  <si>
    <t>FF</t>
  </si>
  <si>
    <t>TOTAL EX. GST</t>
  </si>
  <si>
    <t>info@lightvue.com.au</t>
  </si>
  <si>
    <t>www.lightvue.com.au</t>
  </si>
  <si>
    <t>MANUAL TRACK FOR S WAVE AND PP</t>
  </si>
  <si>
    <t>Max Width</t>
  </si>
  <si>
    <t>Price</t>
  </si>
  <si>
    <r>
      <t xml:space="preserve">LIGHTVUE to </t>
    </r>
    <r>
      <rPr>
        <b/>
        <sz val="16"/>
        <color rgb="FFFF0000"/>
        <rFont val="Calibri"/>
        <family val="2"/>
        <scheme val="minor"/>
      </rPr>
      <t>CUSTOMER</t>
    </r>
    <r>
      <rPr>
        <b/>
        <sz val="16"/>
        <color theme="1"/>
        <rFont val="Calibri"/>
        <family val="2"/>
        <scheme val="minor"/>
      </rPr>
      <t xml:space="preserve"> PRICING (EX TRACKS AND GST)</t>
    </r>
  </si>
  <si>
    <t>Product Type</t>
  </si>
  <si>
    <t>A</t>
  </si>
  <si>
    <t>Pinch Pleat</t>
  </si>
  <si>
    <t>Lightvue</t>
  </si>
  <si>
    <t>Channel:</t>
  </si>
  <si>
    <t>*Choose Channel from dropdown*</t>
  </si>
  <si>
    <t>Cost</t>
  </si>
  <si>
    <t>Labour/Install (Hours)</t>
  </si>
  <si>
    <t>Total Hours</t>
  </si>
  <si>
    <t>Labour/Install $/H</t>
  </si>
  <si>
    <t>Quote/Admin (Hours)</t>
  </si>
  <si>
    <t>Channel</t>
  </si>
  <si>
    <t>Labour&amp;Install</t>
  </si>
  <si>
    <t xml:space="preserve"> </t>
  </si>
  <si>
    <t>Exact, Ceiling height</t>
  </si>
  <si>
    <t>WHOLESALE PRICING (EX TRACKS AND GST)</t>
  </si>
  <si>
    <t>Wholesale</t>
  </si>
  <si>
    <t>Blockout Curtain</t>
  </si>
  <si>
    <t>TF</t>
  </si>
  <si>
    <t>Customer: Tailored</t>
  </si>
  <si>
    <t>7 Batavia Ave</t>
  </si>
  <si>
    <t>J9015C</t>
  </si>
  <si>
    <t>LIVING</t>
  </si>
  <si>
    <t>SLIDING DOOR</t>
  </si>
  <si>
    <t>BED</t>
  </si>
  <si>
    <t>Wands x 3</t>
  </si>
  <si>
    <t>TOTAL (ex. GST)</t>
  </si>
  <si>
    <t>GST</t>
  </si>
  <si>
    <t>OWL</t>
  </si>
  <si>
    <t>OWR</t>
  </si>
  <si>
    <t>C/O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</si>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</sst>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4" formatCode="_-&quot;$&quot;* #,##0.00_-;\-&quot;$&quot;* #,##0.00_-;_-&quot;$&quot;* &quot;-&quot;??_-;_-@_-"/>
    <numFmt numFmtId="164" formatCode="_-&quot;$&quot;* #,##0_-;\-&quot;$&quot;* #,##0_-;_-&quot;$&quot;* &quot;-&quot;??_-;_-@_-"/>
    <numFmt numFmtId="165" formatCode="&quot;$&quot;#,##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2" tint="-0.749961851863155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color theme="4" tint="-0.499984740745262"/>
      <name val="Calibri"/>
      <family val="2"/>
      <scheme val="minor"/>
    </font>
    <font>
      <b/>
      <sz val="8"/>
      <color theme="2" tint="-0.749961851863155"/>
      <name val="Calibri"/>
      <family val="2"/>
      <scheme val="minor"/>
    </font>
    <font>
      <b/>
      <sz val="14"/>
      <color theme="3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b/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25" fillId="0" borderId="0" applyNumberFormat="0" applyFill="0" applyBorder="0" applyAlignment="0" applyProtection="0"/>
  </cellStyleXfs>
  <cellXfs count="97">
    <xf numFmtId="0" fontId="0" fillId="0" borderId="0" xfId="0"/>
    <xf numFmtId="0" fontId="7" fillId="0" borderId="0" xfId="0" applyFont="1"/>
    <xf numFmtId="0" fontId="0" fillId="3" borderId="1" xfId="0" applyFill="1" applyBorder="1" applyAlignment="1">
      <alignment horizontal="center" vertical="center"/>
    </xf>
    <xf numFmtId="44" fontId="10" fillId="4" borderId="0" xfId="0" applyNumberFormat="1" applyFont="1" applyFill="1" applyAlignment="1">
      <alignment horizontal="left" vertical="center" wrapText="1" indent="1"/>
    </xf>
    <xf numFmtId="0" fontId="8" fillId="4" borderId="0" xfId="2" applyFont="1" applyFill="1" applyAlignment="1">
      <alignment vertical="center" wrapText="1"/>
    </xf>
    <xf numFmtId="44" fontId="8" fillId="4" borderId="0" xfId="2" applyNumberFormat="1" applyFont="1" applyFill="1" applyAlignment="1">
      <alignment vertical="center" wrapText="1"/>
    </xf>
    <xf numFmtId="0" fontId="11" fillId="4" borderId="0" xfId="2" applyFont="1" applyFill="1" applyAlignment="1">
      <alignment horizontal="right" vertical="center"/>
    </xf>
    <xf numFmtId="0" fontId="12" fillId="4" borderId="0" xfId="2" applyFont="1" applyFill="1" applyAlignment="1">
      <alignment horizontal="left" vertical="center" wrapText="1"/>
    </xf>
    <xf numFmtId="44" fontId="11" fillId="4" borderId="0" xfId="2" applyNumberFormat="1" applyFont="1" applyFill="1" applyAlignment="1">
      <alignment horizontal="left" vertical="center"/>
    </xf>
    <xf numFmtId="0" fontId="13" fillId="3" borderId="0" xfId="2" applyFont="1" applyFill="1" applyAlignment="1">
      <alignment vertical="center" wrapText="1"/>
    </xf>
    <xf numFmtId="0" fontId="14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6" borderId="0" xfId="0" applyFill="1"/>
    <xf numFmtId="0" fontId="0" fillId="6" borderId="0" xfId="0" applyFill="1" applyAlignment="1">
      <alignment horizontal="left" vertical="top" wrapText="1"/>
    </xf>
    <xf numFmtId="0" fontId="3" fillId="6" borderId="0" xfId="0" applyFont="1" applyFill="1" applyAlignment="1">
      <alignment horizontal="left" vertical="center" wrapText="1"/>
    </xf>
    <xf numFmtId="0" fontId="11" fillId="4" borderId="1" xfId="2" applyFont="1" applyFill="1" applyBorder="1" applyAlignment="1">
      <alignment vertical="center"/>
    </xf>
    <xf numFmtId="0" fontId="11" fillId="4" borderId="1" xfId="2" applyFont="1" applyFill="1" applyBorder="1" applyAlignment="1">
      <alignment vertical="center" wrapText="1"/>
    </xf>
    <xf numFmtId="0" fontId="11" fillId="4" borderId="0" xfId="2" applyFont="1" applyFill="1" applyAlignment="1">
      <alignment vertical="center"/>
    </xf>
    <xf numFmtId="0" fontId="11" fillId="4" borderId="0" xfId="2" applyFont="1" applyFill="1" applyAlignment="1">
      <alignment vertical="center" wrapText="1"/>
    </xf>
    <xf numFmtId="44" fontId="11" fillId="4" borderId="1" xfId="2" applyNumberFormat="1" applyFont="1" applyFill="1" applyBorder="1" applyAlignment="1">
      <alignment vertical="center" wrapText="1"/>
    </xf>
    <xf numFmtId="0" fontId="15" fillId="0" borderId="0" xfId="0" applyFont="1" applyAlignment="1">
      <alignment horizontal="center"/>
    </xf>
    <xf numFmtId="0" fontId="0" fillId="0" borderId="1" xfId="0" applyBorder="1"/>
    <xf numFmtId="0" fontId="0" fillId="5" borderId="1" xfId="0" applyFill="1" applyBorder="1"/>
    <xf numFmtId="0" fontId="0" fillId="0" borderId="1" xfId="0" applyBorder="1" applyAlignment="1">
      <alignment horizontal="center"/>
    </xf>
    <xf numFmtId="1" fontId="0" fillId="0" borderId="0" xfId="0" applyNumberFormat="1"/>
    <xf numFmtId="0" fontId="2" fillId="7" borderId="0" xfId="0" applyFont="1" applyFill="1"/>
    <xf numFmtId="164" fontId="0" fillId="0" borderId="1" xfId="1" applyNumberFormat="1" applyFont="1" applyBorder="1"/>
    <xf numFmtId="0" fontId="0" fillId="8" borderId="1" xfId="0" applyFill="1" applyBorder="1"/>
    <xf numFmtId="0" fontId="16" fillId="5" borderId="1" xfId="0" applyFont="1" applyFill="1" applyBorder="1"/>
    <xf numFmtId="164" fontId="0" fillId="0" borderId="0" xfId="1" applyNumberFormat="1" applyFont="1" applyBorder="1"/>
    <xf numFmtId="0" fontId="17" fillId="7" borderId="0" xfId="0" applyFont="1" applyFill="1" applyAlignment="1">
      <alignment horizontal="left" vertical="center"/>
    </xf>
    <xf numFmtId="0" fontId="0" fillId="9" borderId="0" xfId="0" applyFill="1"/>
    <xf numFmtId="164" fontId="0" fillId="0" borderId="1" xfId="0" applyNumberFormat="1" applyBorder="1"/>
    <xf numFmtId="164" fontId="0" fillId="3" borderId="1" xfId="1" applyNumberFormat="1" applyFont="1" applyFill="1" applyBorder="1" applyAlignment="1">
      <alignment horizontal="right" vertical="center"/>
    </xf>
    <xf numFmtId="14" fontId="0" fillId="6" borderId="0" xfId="0" applyNumberFormat="1" applyFill="1" applyAlignment="1">
      <alignment horizontal="left"/>
    </xf>
    <xf numFmtId="0" fontId="18" fillId="6" borderId="0" xfId="0" applyFont="1" applyFill="1"/>
    <xf numFmtId="0" fontId="5" fillId="8" borderId="1" xfId="0" applyFont="1" applyFill="1" applyBorder="1"/>
    <xf numFmtId="0" fontId="0" fillId="5" borderId="0" xfId="0" applyFill="1"/>
    <xf numFmtId="0" fontId="2" fillId="7" borderId="6" xfId="0" applyFont="1" applyFill="1" applyBorder="1"/>
    <xf numFmtId="164" fontId="2" fillId="0" borderId="1" xfId="1" applyNumberFormat="1" applyFont="1" applyBorder="1"/>
    <xf numFmtId="164" fontId="17" fillId="0" borderId="1" xfId="1" applyNumberFormat="1" applyFont="1" applyBorder="1"/>
    <xf numFmtId="165" fontId="2" fillId="0" borderId="1" xfId="0" applyNumberFormat="1" applyFont="1" applyBorder="1"/>
    <xf numFmtId="0" fontId="2" fillId="10" borderId="0" xfId="0" applyFont="1" applyFill="1"/>
    <xf numFmtId="0" fontId="0" fillId="3" borderId="0" xfId="0" applyFill="1"/>
    <xf numFmtId="0" fontId="2" fillId="3" borderId="0" xfId="0" applyFont="1" applyFill="1" applyAlignment="1">
      <alignment horizontal="center"/>
    </xf>
    <xf numFmtId="0" fontId="21" fillId="3" borderId="0" xfId="0" applyFont="1" applyFill="1" applyAlignment="1">
      <alignment horizontal="center"/>
    </xf>
    <xf numFmtId="0" fontId="19" fillId="10" borderId="0" xfId="0" applyFont="1" applyFill="1"/>
    <xf numFmtId="6" fontId="0" fillId="0" borderId="1" xfId="0" applyNumberFormat="1" applyBorder="1"/>
    <xf numFmtId="164" fontId="0" fillId="0" borderId="1" xfId="1" applyNumberFormat="1" applyFont="1" applyBorder="1" applyAlignment="1">
      <alignment horizontal="center" vertical="top" wrapText="1"/>
    </xf>
    <xf numFmtId="0" fontId="0" fillId="6" borderId="0" xfId="0" applyFill="1" applyAlignment="1">
      <alignment vertical="center" wrapText="1"/>
    </xf>
    <xf numFmtId="0" fontId="6" fillId="11" borderId="0" xfId="0" applyFont="1" applyFill="1" applyAlignment="1">
      <alignment vertical="center"/>
    </xf>
    <xf numFmtId="0" fontId="6" fillId="11" borderId="0" xfId="0" applyFont="1" applyFill="1" applyAlignment="1">
      <alignment horizontal="right" vertical="center"/>
    </xf>
    <xf numFmtId="0" fontId="17" fillId="6" borderId="5" xfId="0" applyFont="1" applyFill="1" applyBorder="1" applyAlignment="1">
      <alignment horizontal="center" vertical="center"/>
    </xf>
    <xf numFmtId="0" fontId="25" fillId="6" borderId="0" xfId="3" applyFill="1"/>
    <xf numFmtId="14" fontId="4" fillId="6" borderId="0" xfId="0" applyNumberFormat="1" applyFont="1" applyFill="1"/>
    <xf numFmtId="0" fontId="0" fillId="6" borderId="0" xfId="0" applyFill="1" applyAlignment="1">
      <alignment horizontal="right"/>
    </xf>
    <xf numFmtId="0" fontId="25" fillId="6" borderId="0" xfId="3" applyFill="1" applyAlignment="1">
      <alignment horizontal="right"/>
    </xf>
    <xf numFmtId="0" fontId="17" fillId="4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9" fillId="4" borderId="0" xfId="2" applyFont="1" applyFill="1" applyAlignment="1">
      <alignment vertical="center" wrapText="1"/>
    </xf>
    <xf numFmtId="0" fontId="20" fillId="7" borderId="1" xfId="0" applyFont="1" applyFill="1" applyBorder="1" applyAlignment="1">
      <alignment horizontal="center" vertical="center"/>
    </xf>
    <xf numFmtId="0" fontId="26" fillId="5" borderId="1" xfId="0" applyFont="1" applyFill="1" applyBorder="1"/>
    <xf numFmtId="164" fontId="26" fillId="0" borderId="1" xfId="1" applyNumberFormat="1" applyFont="1" applyBorder="1"/>
    <xf numFmtId="0" fontId="20" fillId="7" borderId="1" xfId="0" applyFont="1" applyFill="1" applyBorder="1" applyAlignment="1">
      <alignment horizontal="center" vertical="center" wrapText="1"/>
    </xf>
    <xf numFmtId="0" fontId="2" fillId="12" borderId="0" xfId="0" applyFont="1" applyFill="1"/>
    <xf numFmtId="0" fontId="27" fillId="12" borderId="0" xfId="0" applyFont="1" applyFill="1" applyAlignment="1">
      <alignment wrapText="1"/>
    </xf>
    <xf numFmtId="0" fontId="5" fillId="10" borderId="1" xfId="0" applyFont="1" applyFill="1" applyBorder="1"/>
    <xf numFmtId="164" fontId="0" fillId="10" borderId="1" xfId="1" applyNumberFormat="1" applyFont="1" applyFill="1" applyBorder="1"/>
    <xf numFmtId="0" fontId="0" fillId="10" borderId="1" xfId="0" applyFill="1" applyBorder="1"/>
    <xf numFmtId="0" fontId="5" fillId="0" borderId="1" xfId="0" applyFont="1" applyBorder="1"/>
    <xf numFmtId="164" fontId="5" fillId="0" borderId="1" xfId="1" applyNumberFormat="1" applyFont="1" applyBorder="1"/>
    <xf numFmtId="164" fontId="5" fillId="0" borderId="1" xfId="0" applyNumberFormat="1" applyFont="1" applyBorder="1"/>
    <xf numFmtId="164" fontId="2" fillId="0" borderId="7" xfId="1" applyNumberFormat="1" applyFont="1" applyFill="1" applyBorder="1"/>
    <xf numFmtId="0" fontId="28" fillId="0" borderId="1" xfId="0" applyFont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4" fontId="10" fillId="4" borderId="0" xfId="0" applyNumberFormat="1" applyFont="1" applyFill="1" applyAlignment="1">
      <alignment horizontal="left" vertical="center" wrapText="1" indent="1"/>
    </xf>
    <xf numFmtId="0" fontId="0" fillId="6" borderId="0" xfId="0" applyFill="1" applyAlignment="1">
      <alignment horizontal="right"/>
    </xf>
    <xf numFmtId="0" fontId="2" fillId="6" borderId="0" xfId="0" applyFont="1" applyFill="1" applyAlignment="1">
      <alignment horizontal="left" vertical="top" wrapText="1"/>
    </xf>
    <xf numFmtId="0" fontId="17" fillId="6" borderId="2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" fillId="10" borderId="0" xfId="0" applyFont="1" applyFill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1" fillId="7" borderId="0" xfId="0" applyFont="1" applyFill="1" applyAlignment="1">
      <alignment horizontal="center"/>
    </xf>
    <xf numFmtId="0" fontId="21" fillId="10" borderId="0" xfId="0" applyFont="1" applyFill="1" applyAlignment="1">
      <alignment horizontal="center"/>
    </xf>
    <xf numFmtId="0" fontId="19" fillId="10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19" fillId="10" borderId="6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0" fillId="5" borderId="4" xfId="0" applyFill="1" applyBorder="1"/>
  </cellXfs>
  <cellStyles count="4">
    <cellStyle name="20% - Accent1" xfId="2" builtinId="30"/>
    <cellStyle name="Currency" xfId="1" builtinId="4"/>
    <cellStyle name="Hyperlink" xfId="3" builtinId="8"/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45646</xdr:colOff>
      <xdr:row>1</xdr:row>
      <xdr:rowOff>165100</xdr:rowOff>
    </xdr:from>
    <xdr:to>
      <xdr:col>6</xdr:col>
      <xdr:colOff>1239658</xdr:colOff>
      <xdr:row>1</xdr:row>
      <xdr:rowOff>654050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0A4A9A-E9BA-415C-33CC-938B51252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9146" y="349250"/>
          <a:ext cx="2324312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lightvue.com.a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091F-09D0-409A-AE9F-A39AD503D0F4}">
  <dimension ref="A2:H30"/>
  <sheetViews>
    <sheetView topLeftCell="A14" workbookViewId="0">
      <selection activeCell="A22" sqref="A22"/>
    </sheetView>
  </sheetViews>
  <sheetFormatPr defaultRowHeight="14.5" x14ac:dyDescent="0.35"/>
  <cols>
    <col min="1" max="1" width="17.453125" customWidth="1"/>
    <col min="2" max="2" width="24.81640625" customWidth="1"/>
    <col min="3" max="3" width="10" customWidth="1"/>
    <col min="4" max="4" width="3.1796875" customWidth="1"/>
    <col min="5" max="5" width="11.1796875" customWidth="1"/>
    <col min="6" max="6" width="4.90625" customWidth="1"/>
    <col min="7" max="7" width="18.90625" customWidth="1"/>
    <col min="8" max="8" width="24.81640625" customWidth="1"/>
  </cols>
  <sheetData>
    <row r="2" spans="1:8" ht="57" customHeight="1" x14ac:dyDescent="0.65">
      <c r="A2" s="35"/>
      <c r="B2" s="12"/>
      <c r="C2" s="14"/>
      <c r="D2" s="14"/>
      <c r="E2" s="12"/>
      <c r="F2" s="12"/>
      <c r="G2" s="54"/>
    </row>
    <row r="3" spans="1:8" ht="15.5" customHeight="1" x14ac:dyDescent="0.35">
      <c r="A3" s="34">
        <v>45992</v>
      </c>
      <c r="B3" s="12"/>
      <c r="C3" s="14"/>
      <c r="D3" s="14"/>
      <c r="E3" s="78" t="s">
        <v>36</v>
      </c>
      <c r="F3" s="78"/>
      <c r="G3" s="78"/>
    </row>
    <row r="4" spans="1:8" x14ac:dyDescent="0.35">
      <c r="A4" s="34"/>
      <c r="B4" s="12"/>
      <c r="C4" s="12"/>
      <c r="D4" s="12"/>
      <c r="E4" s="55"/>
      <c r="F4" s="55"/>
      <c r="G4" s="55" t="s">
        <v>8</v>
      </c>
    </row>
    <row r="5" spans="1:8" ht="18" customHeight="1" x14ac:dyDescent="0.35">
      <c r="A5" s="79" t="s">
        <v>60</v>
      </c>
      <c r="B5" s="79"/>
      <c r="C5" s="12"/>
      <c r="D5" s="12"/>
      <c r="E5" s="55"/>
      <c r="F5" s="55"/>
      <c r="G5" s="55" t="s">
        <v>7</v>
      </c>
    </row>
    <row r="6" spans="1:8" ht="18" customHeight="1" x14ac:dyDescent="0.35">
      <c r="A6" s="13"/>
      <c r="B6" s="13"/>
      <c r="C6" s="12"/>
      <c r="D6" s="12"/>
      <c r="E6" s="55"/>
      <c r="F6" s="55"/>
      <c r="G6" s="56" t="s">
        <v>35</v>
      </c>
    </row>
    <row r="7" spans="1:8" ht="12.5" customHeight="1" x14ac:dyDescent="0.35">
      <c r="A7" s="53"/>
      <c r="B7" s="12"/>
      <c r="C7" s="12"/>
      <c r="D7" s="12"/>
      <c r="E7" s="12"/>
      <c r="F7" s="12"/>
      <c r="G7" s="12"/>
    </row>
    <row r="8" spans="1:8" ht="41.75" customHeight="1" x14ac:dyDescent="0.35">
      <c r="A8" s="49" t="s">
        <v>61</v>
      </c>
      <c r="B8" s="12"/>
      <c r="C8" s="12"/>
      <c r="D8" s="12"/>
      <c r="E8" s="12"/>
      <c r="F8" s="12"/>
      <c r="G8" s="12"/>
    </row>
    <row r="9" spans="1:8" ht="18.5" x14ac:dyDescent="0.35">
      <c r="A9" s="50"/>
      <c r="B9" s="51" t="s">
        <v>0</v>
      </c>
      <c r="C9" s="50" t="s">
        <v>62</v>
      </c>
      <c r="D9" s="50"/>
      <c r="E9" s="50"/>
      <c r="F9" s="50"/>
      <c r="G9" s="50"/>
      <c r="H9" s="10"/>
    </row>
    <row r="10" spans="1:8" ht="18" customHeight="1" x14ac:dyDescent="0.35">
      <c r="B10" s="1"/>
      <c r="C10" s="1"/>
      <c r="D10" s="1"/>
      <c r="E10" s="1"/>
      <c r="F10" s="1"/>
      <c r="G10" s="1"/>
      <c r="H10" s="1"/>
    </row>
    <row r="11" spans="1:8" s="11" customFormat="1" ht="29.75" customHeight="1" x14ac:dyDescent="0.35">
      <c r="A11" s="52" t="s">
        <v>1</v>
      </c>
      <c r="B11" s="80" t="s">
        <v>2</v>
      </c>
      <c r="C11" s="81"/>
      <c r="D11" s="82"/>
      <c r="E11" s="52" t="s">
        <v>12</v>
      </c>
      <c r="F11" s="52" t="s">
        <v>16</v>
      </c>
      <c r="G11" s="52" t="s">
        <v>3</v>
      </c>
    </row>
    <row r="12" spans="1:8" ht="23.75" customHeight="1" x14ac:dyDescent="0.35">
      <c r="A12" s="73" t="str">
        <f>Measurements!B3</f>
        <v>LIVING</v>
      </c>
      <c r="B12" s="83" t="str">
        <f>IF(ISBLANK(Measurements!E3),"",Measurements!E3)</f>
        <v>Sheer Curtain</v>
      </c>
      <c r="C12" s="84"/>
      <c r="D12" s="85"/>
      <c r="E12" s="2" t="str">
        <f>Measurements!G3</f>
        <v>OWL</v>
      </c>
      <c r="F12" s="2" t="str">
        <f>IF(ISBLANK(Measurements!H3),"",Measurements!H3)</f>
        <v>M</v>
      </c>
      <c r="G12" s="33">
        <f>IF(ISBLANK(Measurements!L3),"",Measurements!L3)</f>
        <v>404.40000000000003</v>
      </c>
    </row>
    <row r="13" spans="1:8" ht="23.75" customHeight="1" x14ac:dyDescent="0.35">
      <c r="A13" s="73" t="str">
        <f>Measurements!B4</f>
        <v>SLIDING DOOR</v>
      </c>
      <c r="B13" s="83" t="str">
        <f>IF(ISBLANK(Measurements!E4),"",Measurements!E4)</f>
        <v>Sheer Curtain</v>
      </c>
      <c r="C13" s="84"/>
      <c r="D13" s="85"/>
      <c r="E13" s="2" t="str">
        <f>Measurements!G4</f>
        <v>OWR</v>
      </c>
      <c r="F13" s="2" t="str">
        <f>IF(ISBLANK(Measurements!H4),"",Measurements!H4)</f>
        <v>M</v>
      </c>
      <c r="G13" s="33">
        <f>IF(ISBLANK(Measurements!L4),"",Measurements!L4)</f>
        <v>366.8</v>
      </c>
    </row>
    <row r="14" spans="1:8" ht="23.75" customHeight="1" x14ac:dyDescent="0.35">
      <c r="A14" s="73" t="str">
        <f>Measurements!B5</f>
        <v>BED</v>
      </c>
      <c r="B14" s="83" t="str">
        <f>IF(ISBLANK(Measurements!E5),"",Measurements!E5)</f>
        <v>Sheer Curtain</v>
      </c>
      <c r="C14" s="84"/>
      <c r="D14" s="85"/>
      <c r="E14" s="2" t="str">
        <f>Measurements!G5</f>
        <v>OWR</v>
      </c>
      <c r="F14" s="2" t="str">
        <f>IF(ISBLANK(Measurements!H5),"",Measurements!H5)</f>
        <v>M</v>
      </c>
      <c r="G14" s="33">
        <f>IF(ISBLANK(Measurements!L5),"",Measurements!L5)</f>
        <v>477.20000000000005</v>
      </c>
    </row>
    <row r="15" spans="1:8" ht="23.5" customHeight="1" x14ac:dyDescent="0.35">
      <c r="A15" s="73"/>
      <c r="B15" s="83" t="s">
        <v>66</v>
      </c>
      <c r="C15" s="84"/>
      <c r="D15" s="85"/>
      <c r="E15" s="2">
        <f>Measurements!G6</f>
        <v>0</v>
      </c>
      <c r="F15" s="2" t="str">
        <f>IF(ISBLANK(Measurements!H6),"",Measurements!H6)</f>
        <v/>
      </c>
      <c r="G15" s="33">
        <v>30</v>
      </c>
    </row>
    <row r="16" spans="1:8" ht="23.75" customHeight="1" x14ac:dyDescent="0.35">
      <c r="A16" s="73"/>
      <c r="B16" s="83"/>
      <c r="C16" s="84"/>
      <c r="D16" s="85"/>
      <c r="E16" s="2"/>
      <c r="F16" s="2"/>
      <c r="G16" s="33"/>
    </row>
    <row r="17" spans="1:8" ht="23.75" customHeight="1" x14ac:dyDescent="0.35">
      <c r="A17" s="73"/>
      <c r="B17" s="83"/>
      <c r="C17" s="84"/>
      <c r="D17" s="85"/>
      <c r="E17" s="2"/>
      <c r="F17" s="2"/>
      <c r="G17" s="33"/>
    </row>
    <row r="18" spans="1:8" ht="23.75" customHeight="1" x14ac:dyDescent="0.35">
      <c r="A18" s="73"/>
      <c r="B18" s="83"/>
      <c r="C18" s="84"/>
      <c r="D18" s="85"/>
      <c r="E18" s="2"/>
      <c r="F18" s="2"/>
      <c r="G18" s="33"/>
    </row>
    <row r="19" spans="1:8" ht="23.5" customHeight="1" x14ac:dyDescent="0.35">
      <c r="A19" s="73"/>
      <c r="B19" s="83"/>
      <c r="C19" s="84"/>
      <c r="D19" s="85"/>
      <c r="E19" s="2"/>
      <c r="F19" s="2"/>
      <c r="G19" s="33"/>
    </row>
    <row r="20" spans="1:8" ht="23.75" customHeight="1" x14ac:dyDescent="0.35">
      <c r="A20" s="73"/>
      <c r="B20" s="74"/>
      <c r="C20" s="75"/>
      <c r="D20" s="76"/>
      <c r="E20" s="2"/>
      <c r="F20" s="2"/>
      <c r="G20" s="33"/>
    </row>
    <row r="21" spans="1:8" ht="23.75" customHeight="1" x14ac:dyDescent="0.35">
      <c r="A21" s="73"/>
      <c r="B21" s="74"/>
      <c r="C21" s="75"/>
      <c r="D21" s="76"/>
      <c r="E21" s="2"/>
      <c r="F21" s="2"/>
      <c r="G21" s="33"/>
    </row>
    <row r="22" spans="1:8" ht="23.75" customHeight="1" x14ac:dyDescent="0.35">
      <c r="A22" s="15"/>
      <c r="B22" s="16"/>
      <c r="C22" s="19" t="s">
        <v>54</v>
      </c>
      <c r="D22" s="5"/>
      <c r="E22" s="6" t="s">
        <v>67</v>
      </c>
      <c r="F22" s="6"/>
      <c r="G22" s="77">
        <f>SUM(G12:G21)</f>
        <v>1278.4000000000001</v>
      </c>
    </row>
    <row r="23" spans="1:8" ht="15.5" customHeight="1" x14ac:dyDescent="0.35">
      <c r="A23" s="17"/>
      <c r="B23" s="18"/>
      <c r="C23" s="4"/>
      <c r="D23" s="4"/>
      <c r="E23" s="6" t="s">
        <v>68</v>
      </c>
      <c r="F23" s="6"/>
      <c r="G23" s="77">
        <f>G22*0.1</f>
        <v>127.84000000000002</v>
      </c>
    </row>
    <row r="24" spans="1:8" ht="23.75" customHeight="1" x14ac:dyDescent="0.35">
      <c r="A24" s="57" t="s">
        <v>5</v>
      </c>
      <c r="B24" s="18"/>
      <c r="C24" s="4"/>
      <c r="D24" s="4"/>
      <c r="E24" s="6" t="s">
        <v>4</v>
      </c>
      <c r="F24" s="6"/>
      <c r="G24" s="77">
        <f>SUM(G22:G23)</f>
        <v>1406.24</v>
      </c>
    </row>
    <row r="25" spans="1:8" ht="23.75" customHeight="1" x14ac:dyDescent="0.35">
      <c r="A25" s="58" t="s">
        <v>9</v>
      </c>
      <c r="B25" s="18"/>
      <c r="C25" s="4"/>
      <c r="D25" s="4"/>
      <c r="E25" s="6"/>
      <c r="F25" s="6"/>
      <c r="G25" s="3"/>
    </row>
    <row r="26" spans="1:8" ht="23.75" customHeight="1" x14ac:dyDescent="0.35">
      <c r="A26" s="58" t="s">
        <v>10</v>
      </c>
      <c r="B26" s="59" t="s">
        <v>11</v>
      </c>
      <c r="C26" s="4"/>
      <c r="D26" s="4"/>
      <c r="E26" s="6"/>
      <c r="F26" s="6"/>
      <c r="G26" s="3"/>
    </row>
    <row r="27" spans="1:8" ht="23.75" customHeight="1" x14ac:dyDescent="0.35">
      <c r="A27" s="59" t="s">
        <v>6</v>
      </c>
      <c r="B27" s="59" t="str">
        <f>C9</f>
        <v>J9015C</v>
      </c>
      <c r="C27" s="4"/>
      <c r="D27" s="4"/>
      <c r="E27" s="6"/>
      <c r="F27" s="6"/>
      <c r="G27" s="3"/>
    </row>
    <row r="28" spans="1:8" ht="23.75" customHeight="1" x14ac:dyDescent="0.35">
      <c r="A28" s="7"/>
      <c r="B28" s="7"/>
      <c r="C28" s="7"/>
      <c r="D28" s="4"/>
      <c r="E28" s="6"/>
      <c r="F28" s="6"/>
      <c r="G28" s="8"/>
    </row>
    <row r="29" spans="1:8" ht="12" customHeight="1" x14ac:dyDescent="0.35">
      <c r="D29" s="9"/>
      <c r="E29" s="9"/>
      <c r="F29" s="9"/>
      <c r="G29" s="9"/>
    </row>
    <row r="30" spans="1:8" ht="63.5" customHeight="1" x14ac:dyDescent="0.35">
      <c r="H30" s="9"/>
    </row>
  </sheetData>
  <mergeCells count="11">
    <mergeCell ref="B14:D14"/>
    <mergeCell ref="B15:D15"/>
    <mergeCell ref="B16:D16"/>
    <mergeCell ref="B17:D17"/>
    <mergeCell ref="B19:D19"/>
    <mergeCell ref="B18:D18"/>
    <mergeCell ref="E3:G3"/>
    <mergeCell ref="A5:B5"/>
    <mergeCell ref="B11:D11"/>
    <mergeCell ref="B12:D12"/>
    <mergeCell ref="B13:D13"/>
  </mergeCells>
  <dataValidations count="2">
    <dataValidation allowBlank="1" showInputMessage="1" showErrorMessage="1" prompt="The Total Amount is automatically calculated in this cell" sqref="G22:G27" xr:uid="{A505F631-BD2D-4684-901F-34A185B692D2}"/>
    <dataValidation allowBlank="1" showInputMessage="1" showErrorMessage="1" prompt="Enter the number of days in which the Total is due to replace the first &lt;#&gt; in this cell and enter overdue service charge percent in the second &lt;#&gt;" sqref="A22:A26" xr:uid="{3C6C83F1-B7B9-48D9-92E1-545E6B4EAF1E}"/>
  </dataValidations>
  <hyperlinks>
    <hyperlink ref="G6" r:id="rId1" xr:uid="{60168571-4BC3-43AB-9136-88CB7D045A50}"/>
  </hyperlinks>
  <pageMargins left="0.25" right="0.25" top="0.75" bottom="0.75" header="0.3" footer="0.3"/>
  <pageSetup paperSize="9" orientation="portrait" r:id="rId2"/>
  <rowBreaks count="1" manualBreakCount="1">
    <brk id="17" max="16383" man="1"/>
  </row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9E1C-4194-4A59-AAF5-5D22E6C0A541}">
  <dimension ref="A1:O25"/>
  <sheetViews>
    <sheetView tabSelected="1" topLeftCell="A2" workbookViewId="0">
      <selection activeCell="M2" sqref="M2"/>
    </sheetView>
  </sheetViews>
  <sheetFormatPr defaultRowHeight="14.5" x14ac:dyDescent="0.35"/>
  <cols>
    <col min="2" max="2" width="16.6328125" bestFit="1" customWidth="1"/>
    <col min="4" max="4" width="8.81640625" customWidth="1"/>
    <col min="5" max="5" width="23" customWidth="1"/>
    <col min="6" max="6" width="8.54296875" customWidth="1"/>
    <col min="7" max="8" width="8.81640625" customWidth="1"/>
    <col min="9" max="9" width="6.1796875" customWidth="1"/>
    <col min="10" max="10" width="14.6328125" customWidth="1"/>
    <col min="11" max="11" width="14.36328125" bestFit="1" customWidth="1"/>
    <col min="12" max="12" width="10.36328125" customWidth="1"/>
    <col min="13" max="13" width="15.36328125" customWidth="1"/>
    <col min="14" max="14" width="19.08984375" customWidth="1"/>
  </cols>
  <sheetData>
    <row r="1" spans="1:15" ht="27.65" customHeight="1" x14ac:dyDescent="0.35">
      <c r="A1" s="64" t="s">
        <v>45</v>
      </c>
      <c r="B1" s="65" t="s">
        <v>57</v>
      </c>
      <c r="C1" s="86" t="s">
        <v>55</v>
      </c>
      <c r="D1" s="86"/>
      <c r="E1" s="20"/>
    </row>
    <row r="2" spans="1:15" x14ac:dyDescent="0.35">
      <c r="B2" s="22" t="s">
        <v>1</v>
      </c>
      <c r="C2" s="22" t="s">
        <v>13</v>
      </c>
      <c r="D2" s="22" t="s">
        <v>14</v>
      </c>
      <c r="E2" s="22" t="s">
        <v>15</v>
      </c>
      <c r="F2" s="22" t="s">
        <v>17</v>
      </c>
      <c r="G2" s="22" t="s">
        <v>12</v>
      </c>
      <c r="H2" s="22" t="s">
        <v>16</v>
      </c>
      <c r="I2" s="22" t="s">
        <v>32</v>
      </c>
      <c r="J2" s="22" t="s">
        <v>24</v>
      </c>
      <c r="K2" s="22" t="s">
        <v>23</v>
      </c>
      <c r="L2" s="22" t="s">
        <v>3</v>
      </c>
      <c r="M2" s="22" t="s">
        <v>72</v>
      </c>
      <c r="N2" s="96" t="s">
        <v>50</v>
      </c>
      <c r="O2" s="47">
        <v>90</v>
      </c>
    </row>
    <row r="3" spans="1:15" ht="15.5" x14ac:dyDescent="0.35">
      <c r="A3" s="23">
        <v>1</v>
      </c>
      <c r="B3" s="73" t="s">
        <v>63</v>
      </c>
      <c r="C3" s="21">
        <v>3830</v>
      </c>
      <c r="D3" s="21">
        <v>2410</v>
      </c>
      <c r="E3" s="69" t="s">
        <v>19</v>
      </c>
      <c r="F3" s="69" t="s">
        <v>31</v>
      </c>
      <c r="G3" s="69" t="s">
        <v>69</v>
      </c>
      <c r="H3" s="69" t="s">
        <v>18</v>
      </c>
      <c r="I3" s="69" t="s">
        <v>59</v>
      </c>
      <c r="J3" s="70" cm="1">
        <f t="array" ref="J3">_xlfn.IFS($B$1="Lightvue",
IF(E3="Sheer Curtain",
_xlfn.XLOOKUP(Measurements!D3,'Curtain Pricing'!$B$8:$B$12,
_xlfn.XLOOKUP(C3,'Curtain Pricing'!$D$6:$N$6,'Curtain Pricing'!$D$8:$N$12,,-1,1),,-1,1),
IF(E3="Blockout Curtain",
_xlfn.XLOOKUP(Measurements!D3,'Curtain Pricing'!$B$20:$B$24,
_xlfn.XLOOKUP(C3,'Curtain Pricing'!$D$18:$N$18,'Curtain Pricing'!$D$20:$N$24,,-1,1),,-1,1),"Select Product")),
$B$1="Wholesale",IF(E3="Sheer Curtain",
IF(F3="S Wave",_xlfn.XLOOKUP(Measurements!D3,'Curtain Pricing'!$Q$8:$Q$12,_xlfn.XLOOKUP(C3,'Curtain Pricing'!$S$6:$AC$6,'Curtain Pricing'!$S$8:$AC$12,,-1,1),"Select Product",-1,1),
IF(F3="Pinch Pleat",
_xlfn.XLOOKUP(Measurements!D3,'Curtain Pricing'!$Q$18:$Q$22,
_xlfn.XLOOKUP(C3,'Curtain Pricing'!$S$16:$AC$16,'Curtain Pricing'!$S$18:$AC$22,,-1,1),,-1,1),"Select Style")),
IF(E3="Blockout Curtain",
IF(F3="S Wave",
_xlfn.XLOOKUP(Measurements!D3,'Curtain Pricing'!$Q$28:$Q$32,
_xlfn.XLOOKUP(C3,'Curtain Pricing'!$S$26:$AC$26,'Curtain Pricing'!$S$28:$AC$32,,-1,1),,-1,1),
IF(F3="Pinch Pleat",
_xlfn.XLOOKUP(Measurements!D3,'Curtain Pricing'!$Q$37:$Q$41,
_xlfn.XLOOKUP(C3,'Curtain Pricing'!$S$35:$AC$35,'Curtain Pricing'!$S$37:$AC$41,,-1,1),,-1,1),"Select Style")))),
$B$1="*Choose Channel from dropdown*","Choose Channel From Dropdown")</f>
        <v>274.40000000000003</v>
      </c>
      <c r="K3" s="70">
        <f>_xlfn.XLOOKUP(C3,'Curtain Pricing'!B$34:B$39,'Curtain Pricing'!C$34:C$39,,1,1)</f>
        <v>130</v>
      </c>
      <c r="L3" s="71">
        <f>SUM(J3:K3)</f>
        <v>404.40000000000003</v>
      </c>
      <c r="M3" s="21"/>
      <c r="N3" s="96" t="s">
        <v>48</v>
      </c>
      <c r="O3" s="21">
        <v>0</v>
      </c>
    </row>
    <row r="4" spans="1:15" ht="15.5" x14ac:dyDescent="0.35">
      <c r="A4" s="23">
        <v>2</v>
      </c>
      <c r="B4" s="73" t="s">
        <v>64</v>
      </c>
      <c r="C4" s="21">
        <v>3030</v>
      </c>
      <c r="D4" s="21">
        <v>2415</v>
      </c>
      <c r="E4" s="69" t="s">
        <v>19</v>
      </c>
      <c r="F4" s="69" t="s">
        <v>31</v>
      </c>
      <c r="G4" s="69" t="s">
        <v>70</v>
      </c>
      <c r="H4" s="69" t="s">
        <v>18</v>
      </c>
      <c r="I4" s="69" t="s">
        <v>59</v>
      </c>
      <c r="J4" s="70" cm="1">
        <f t="array" ref="J4">_xlfn.IFS($B$1="Lightvue",
IF(E4="Sheer Curtain",
_xlfn.XLOOKUP(Measurements!D4,'Curtain Pricing'!$B$8:$B$12,
_xlfn.XLOOKUP(C4,'Curtain Pricing'!$D$6:$N$6,'Curtain Pricing'!$D$8:$N$12,,-1,1),,-1,1),
IF(E4="Blockout Curtain",
_xlfn.XLOOKUP(Measurements!D4,'Curtain Pricing'!$B$20:$B$24,
_xlfn.XLOOKUP(C4,'Curtain Pricing'!$D$18:$N$18,'Curtain Pricing'!$D$20:$N$24,,-1,1),,-1,1),"Select Product")),
$B$1="Wholesale",IF(E4="Sheer Curtain",
IF(F4="S Wave",_xlfn.XLOOKUP(Measurements!D4,'Curtain Pricing'!$Q$8:$Q$12,_xlfn.XLOOKUP(C4,'Curtain Pricing'!$S$6:$AC$6,'Curtain Pricing'!$S$8:$AC$12,,-1,1),"Select Product",-1,1),
IF(F4="Pinch Pleat",
_xlfn.XLOOKUP(Measurements!D4,'Curtain Pricing'!$Q$18:$Q$22,
_xlfn.XLOOKUP(C4,'Curtain Pricing'!$S$16:$AC$16,'Curtain Pricing'!$S$18:$AC$22,,-1,1),,-1,1),"Select Style")),
IF(E4="Blockout Curtain",
IF(F4="S Wave",
_xlfn.XLOOKUP(Measurements!D4,'Curtain Pricing'!$Q$28:$Q$32,
_xlfn.XLOOKUP(C4,'Curtain Pricing'!$S$26:$AC$26,'Curtain Pricing'!$S$28:$AC$32,,-1,1),,-1,1),
IF(F4="Pinch Pleat",
_xlfn.XLOOKUP(Measurements!D4,'Curtain Pricing'!$Q$37:$Q$41,
_xlfn.XLOOKUP(C4,'Curtain Pricing'!$S$35:$AC$35,'Curtain Pricing'!$S$37:$AC$41,,-1,1),,-1,1),"Select Style")))),
$B$1="*Choose Channel from dropdown*","Choose Channel From Dropdown")</f>
        <v>236.8</v>
      </c>
      <c r="K4" s="70">
        <f>_xlfn.XLOOKUP(C4,'Curtain Pricing'!B$34:B$39,'Curtain Pricing'!C$34:C$39,,1,1)</f>
        <v>130</v>
      </c>
      <c r="L4" s="71">
        <f t="shared" ref="L4:L5" si="0">SUM(J4:K4)</f>
        <v>366.8</v>
      </c>
      <c r="M4" s="21"/>
      <c r="N4" s="96" t="s">
        <v>51</v>
      </c>
      <c r="O4" s="21">
        <v>0</v>
      </c>
    </row>
    <row r="5" spans="1:15" ht="15.5" x14ac:dyDescent="0.35">
      <c r="A5" s="23">
        <v>3</v>
      </c>
      <c r="B5" s="73" t="s">
        <v>65</v>
      </c>
      <c r="C5" s="21">
        <v>4254</v>
      </c>
      <c r="D5" s="21">
        <v>2425</v>
      </c>
      <c r="E5" s="69" t="s">
        <v>19</v>
      </c>
      <c r="F5" s="69" t="s">
        <v>31</v>
      </c>
      <c r="G5" s="21" t="s">
        <v>70</v>
      </c>
      <c r="H5" s="69" t="s">
        <v>18</v>
      </c>
      <c r="I5" s="69" t="s">
        <v>59</v>
      </c>
      <c r="J5" s="70" cm="1">
        <f t="array" ref="J5">_xlfn.IFS($B$1="Lightvue",
IF(E5="Sheer Curtain",
_xlfn.XLOOKUP(Measurements!D5,'Curtain Pricing'!$B$8:$B$12,
_xlfn.XLOOKUP(C5,'Curtain Pricing'!$D$6:$N$6,'Curtain Pricing'!$D$8:$N$12,,-1,1),,-1,1),
IF(E5="Blockout Curtain",
_xlfn.XLOOKUP(Measurements!D5,'Curtain Pricing'!$B$20:$B$24,
_xlfn.XLOOKUP(C5,'Curtain Pricing'!$D$18:$N$18,'Curtain Pricing'!$D$20:$N$24,,-1,1),,-1,1),"Select Product")),
$B$1="Wholesale",IF(E5="Sheer Curtain",
IF(F5="S Wave",_xlfn.XLOOKUP(Measurements!D5,'Curtain Pricing'!$Q$8:$Q$12,_xlfn.XLOOKUP(C5,'Curtain Pricing'!$S$6:$AC$6,'Curtain Pricing'!$S$8:$AC$12,,-1,1),"Select Product",-1,1),
IF(F5="Pinch Pleat",
_xlfn.XLOOKUP(Measurements!D5,'Curtain Pricing'!$Q$18:$Q$22,
_xlfn.XLOOKUP(C5,'Curtain Pricing'!$S$16:$AC$16,'Curtain Pricing'!$S$18:$AC$22,,-1,1),,-1,1),"Select Style")),
IF(E5="Blockout Curtain",
IF(F5="S Wave",
_xlfn.XLOOKUP(Measurements!D5,'Curtain Pricing'!$Q$28:$Q$32,
_xlfn.XLOOKUP(C5,'Curtain Pricing'!$S$26:$AC$26,'Curtain Pricing'!$S$28:$AC$32,,-1,1),,-1,1),
IF(F5="Pinch Pleat",
_xlfn.XLOOKUP(Measurements!D5,'Curtain Pricing'!$Q$37:$Q$41,
_xlfn.XLOOKUP(C5,'Curtain Pricing'!$S$35:$AC$35,'Curtain Pricing'!$S$37:$AC$41,,-1,1),,-1,1),"Select Style")))),
$B$1="*Choose Channel from dropdown*","Choose Channel From Dropdown")</f>
        <v>307.20000000000005</v>
      </c>
      <c r="K5" s="70">
        <f>_xlfn.XLOOKUP(C5,'Curtain Pricing'!B$34:B$39,'Curtain Pricing'!C$34:C$39,,1,1)</f>
        <v>170</v>
      </c>
      <c r="L5" s="71">
        <f t="shared" si="0"/>
        <v>477.20000000000005</v>
      </c>
      <c r="M5" s="21"/>
      <c r="N5" s="96" t="s">
        <v>49</v>
      </c>
      <c r="O5" s="21">
        <f>SUM(O3+O4)</f>
        <v>0</v>
      </c>
    </row>
    <row r="6" spans="1:15" x14ac:dyDescent="0.35">
      <c r="A6" s="23">
        <v>4</v>
      </c>
      <c r="B6" s="23"/>
      <c r="C6" s="21"/>
      <c r="D6" s="21"/>
      <c r="E6" s="69"/>
      <c r="F6" s="69"/>
      <c r="G6" s="21"/>
      <c r="H6" s="69"/>
      <c r="I6" s="69"/>
      <c r="J6" s="70"/>
      <c r="K6" s="70"/>
      <c r="L6" s="71"/>
      <c r="M6" s="21"/>
      <c r="N6" s="96" t="s">
        <v>47</v>
      </c>
      <c r="O6" s="47">
        <f>O5*O2</f>
        <v>0</v>
      </c>
    </row>
    <row r="7" spans="1:15" x14ac:dyDescent="0.35">
      <c r="A7" s="23">
        <v>5</v>
      </c>
      <c r="B7" s="23"/>
      <c r="C7" s="21"/>
      <c r="D7" s="21"/>
      <c r="E7" s="69"/>
      <c r="F7" s="69"/>
      <c r="G7" s="21"/>
      <c r="H7" s="69"/>
      <c r="I7" s="69"/>
      <c r="J7" s="70"/>
      <c r="K7" s="70"/>
      <c r="L7" s="71"/>
      <c r="M7" s="21"/>
    </row>
    <row r="8" spans="1:15" x14ac:dyDescent="0.35">
      <c r="A8" s="23">
        <v>6</v>
      </c>
      <c r="B8" s="23"/>
      <c r="C8" s="21"/>
      <c r="D8" s="21"/>
      <c r="E8" s="69"/>
      <c r="F8" s="69"/>
      <c r="G8" s="21"/>
      <c r="H8" s="69"/>
      <c r="I8" s="69"/>
      <c r="J8" s="70"/>
      <c r="K8" s="70"/>
      <c r="L8" s="71"/>
      <c r="M8" s="21"/>
    </row>
    <row r="9" spans="1:15" x14ac:dyDescent="0.35">
      <c r="A9" s="23">
        <v>7</v>
      </c>
      <c r="B9" s="21"/>
      <c r="C9" s="21"/>
      <c r="D9" s="21"/>
      <c r="E9" s="21"/>
      <c r="F9" s="21"/>
      <c r="G9" s="21"/>
      <c r="H9" s="21"/>
      <c r="I9" s="21"/>
      <c r="J9" s="70"/>
      <c r="K9" s="70"/>
      <c r="L9" s="71"/>
      <c r="M9" s="21"/>
    </row>
    <row r="10" spans="1:15" x14ac:dyDescent="0.35">
      <c r="A10" s="23">
        <v>8</v>
      </c>
      <c r="B10" s="21"/>
      <c r="C10" s="21"/>
      <c r="D10" s="21"/>
      <c r="E10" s="21"/>
      <c r="F10" s="21"/>
      <c r="G10" s="21"/>
      <c r="H10" s="21"/>
      <c r="I10" s="21"/>
      <c r="J10" s="70"/>
      <c r="K10" s="70"/>
      <c r="L10" s="71"/>
      <c r="M10" s="21"/>
    </row>
    <row r="11" spans="1:15" x14ac:dyDescent="0.35">
      <c r="A11" s="23">
        <v>9</v>
      </c>
      <c r="B11" s="21"/>
      <c r="C11" s="21"/>
      <c r="D11" s="21"/>
      <c r="E11" s="21"/>
      <c r="F11" s="21"/>
      <c r="G11" s="21"/>
      <c r="H11" s="21"/>
      <c r="I11" s="21"/>
      <c r="J11" s="70"/>
      <c r="K11" s="70"/>
      <c r="L11" s="71"/>
      <c r="M11" s="21"/>
    </row>
    <row r="12" spans="1:15" x14ac:dyDescent="0.35">
      <c r="A12" s="23">
        <v>10</v>
      </c>
      <c r="B12" s="21"/>
      <c r="C12" s="21"/>
      <c r="D12" s="21"/>
      <c r="E12" s="21"/>
      <c r="F12" s="21"/>
      <c r="G12" s="21"/>
      <c r="H12" s="21"/>
      <c r="I12" s="21"/>
      <c r="J12" s="70"/>
      <c r="K12" s="70"/>
      <c r="L12" s="71"/>
      <c r="M12" s="21"/>
    </row>
    <row r="13" spans="1:15" x14ac:dyDescent="0.35">
      <c r="A13" s="23">
        <v>11</v>
      </c>
      <c r="B13" s="21"/>
      <c r="C13" s="21"/>
      <c r="D13" s="21"/>
      <c r="E13" s="21"/>
      <c r="F13" s="21"/>
      <c r="G13" s="21"/>
      <c r="H13" s="21"/>
      <c r="I13" s="21"/>
      <c r="J13" s="70"/>
      <c r="K13" s="70"/>
      <c r="L13" s="71"/>
      <c r="M13" s="21"/>
    </row>
    <row r="14" spans="1:15" x14ac:dyDescent="0.35">
      <c r="A14" s="23">
        <v>12</v>
      </c>
      <c r="B14" s="21"/>
      <c r="C14" s="21"/>
      <c r="D14" s="21"/>
      <c r="E14" s="21"/>
      <c r="F14" s="21"/>
      <c r="G14" s="21"/>
      <c r="H14" s="21"/>
      <c r="I14" s="21"/>
      <c r="J14" s="70"/>
      <c r="K14" s="70"/>
      <c r="L14" s="71"/>
      <c r="M14" s="21"/>
    </row>
    <row r="15" spans="1:15" x14ac:dyDescent="0.35">
      <c r="A15" s="23"/>
      <c r="B15" s="21"/>
      <c r="C15" s="21"/>
      <c r="D15" s="21"/>
      <c r="E15" s="21"/>
      <c r="F15" s="47"/>
      <c r="G15" s="21"/>
      <c r="H15" s="21"/>
      <c r="I15" s="21"/>
      <c r="J15" s="70"/>
      <c r="K15" s="70"/>
      <c r="L15" s="71"/>
      <c r="M15" s="21"/>
    </row>
    <row r="16" spans="1:15" x14ac:dyDescent="0.35">
      <c r="A16" s="23"/>
      <c r="B16" s="21"/>
      <c r="C16" s="21"/>
      <c r="D16" s="21"/>
      <c r="E16" s="21"/>
      <c r="F16" s="47"/>
      <c r="G16" s="21"/>
      <c r="H16" s="21"/>
      <c r="I16" s="21"/>
      <c r="J16" s="70"/>
      <c r="K16" s="70"/>
      <c r="L16" s="71"/>
      <c r="M16" s="21"/>
    </row>
    <row r="17" spans="1:12" x14ac:dyDescent="0.35">
      <c r="A17" s="23"/>
      <c r="B17" s="21"/>
      <c r="C17" s="21"/>
      <c r="D17" s="21"/>
      <c r="E17" s="21"/>
      <c r="F17" s="47"/>
      <c r="G17" s="21"/>
      <c r="H17" s="21"/>
      <c r="I17" s="21"/>
      <c r="J17" s="70"/>
      <c r="K17" s="70"/>
      <c r="L17" s="71"/>
    </row>
    <row r="18" spans="1:12" x14ac:dyDescent="0.35">
      <c r="A18" s="23"/>
      <c r="B18" s="21"/>
      <c r="C18" s="21"/>
      <c r="D18" s="21"/>
      <c r="E18" s="21"/>
      <c r="F18" s="47"/>
      <c r="G18" s="21"/>
      <c r="H18" s="21"/>
      <c r="I18" s="21"/>
      <c r="J18" s="26"/>
      <c r="K18" s="26"/>
      <c r="L18" s="32"/>
    </row>
    <row r="19" spans="1:12" x14ac:dyDescent="0.35">
      <c r="A19" s="23"/>
      <c r="B19" s="21"/>
      <c r="C19" s="21"/>
      <c r="D19" s="21"/>
      <c r="E19" s="21"/>
      <c r="F19" s="21"/>
      <c r="G19" s="21"/>
      <c r="H19" s="21"/>
      <c r="I19" s="21"/>
      <c r="J19" s="26"/>
      <c r="K19" s="26"/>
      <c r="L19" s="32"/>
    </row>
    <row r="20" spans="1:12" x14ac:dyDescent="0.35">
      <c r="A20" s="23"/>
      <c r="B20" s="21"/>
      <c r="C20" s="21"/>
      <c r="D20" s="21"/>
      <c r="E20" s="21"/>
      <c r="F20" s="21"/>
      <c r="G20" s="21"/>
      <c r="H20" s="21"/>
      <c r="I20" s="21"/>
      <c r="J20" s="26"/>
      <c r="K20" s="26"/>
      <c r="L20" s="32"/>
    </row>
    <row r="21" spans="1:12" x14ac:dyDescent="0.35">
      <c r="A21" s="23"/>
      <c r="B21" s="21"/>
      <c r="D21" s="21"/>
      <c r="E21" s="21"/>
      <c r="F21" s="21"/>
      <c r="G21" s="21"/>
      <c r="H21" s="21"/>
      <c r="I21" s="21"/>
      <c r="J21" s="26"/>
      <c r="K21" s="26"/>
      <c r="L21" s="32"/>
    </row>
    <row r="22" spans="1:12" x14ac:dyDescent="0.35">
      <c r="A22" s="23"/>
      <c r="B22" s="21"/>
      <c r="C22" s="21"/>
      <c r="D22" s="21"/>
      <c r="E22" s="21"/>
      <c r="F22" s="21"/>
      <c r="G22" s="21"/>
      <c r="H22" s="21"/>
      <c r="I22" s="21"/>
      <c r="J22" s="26"/>
      <c r="K22" s="26"/>
      <c r="L22" s="32"/>
    </row>
    <row r="23" spans="1:12" x14ac:dyDescent="0.35">
      <c r="A23" s="23"/>
      <c r="B23" s="21"/>
      <c r="C23" s="21"/>
      <c r="D23" s="21"/>
      <c r="E23" s="21"/>
      <c r="F23" s="21"/>
      <c r="G23" s="21"/>
      <c r="H23" s="21"/>
      <c r="I23" s="21"/>
      <c r="J23" s="26"/>
      <c r="K23" s="26"/>
      <c r="L23" s="32"/>
    </row>
    <row r="24" spans="1:12" x14ac:dyDescent="0.35">
      <c r="A24" s="23"/>
      <c r="B24" s="21"/>
      <c r="C24" s="21"/>
      <c r="D24" s="21"/>
      <c r="E24" s="21"/>
      <c r="F24" s="21"/>
      <c r="G24" s="21"/>
      <c r="H24" s="21"/>
      <c r="I24" s="21"/>
      <c r="J24" s="26"/>
      <c r="K24" s="26" t="s">
        <v>53</v>
      </c>
      <c r="L24" s="32">
        <f>O6</f>
        <v>0</v>
      </c>
    </row>
    <row r="25" spans="1:12" ht="26" customHeight="1" x14ac:dyDescent="0.35">
      <c r="A25" s="23"/>
      <c r="B25" s="21"/>
      <c r="C25" s="21"/>
      <c r="D25" s="21"/>
      <c r="E25" s="21"/>
      <c r="F25" s="21"/>
      <c r="G25" s="21"/>
      <c r="H25" s="21"/>
      <c r="I25" s="21"/>
      <c r="J25" s="26"/>
      <c r="K25" s="48" t="s">
        <v>34</v>
      </c>
      <c r="L25" s="32">
        <f>SUM(L3:L24)</f>
        <v>1248.4000000000001</v>
      </c>
    </row>
  </sheetData>
  <mergeCells count="1">
    <mergeCell ref="C1:D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58D41E83-AE44-4064-8911-3D4CFDABBA16}">
          <x14:formula1>
            <xm:f>Dropdowns!$A$2:$A$3</xm:f>
          </x14:formula1>
          <xm:sqref>E3:E14</xm:sqref>
        </x14:dataValidation>
        <x14:dataValidation type="list" allowBlank="1" showInputMessage="1" showErrorMessage="1" xr:uid="{E7A7488A-0374-4E75-919B-858D58A151B7}">
          <x14:formula1>
            <xm:f>Dropdowns!$B$2:$B$3</xm:f>
          </x14:formula1>
          <xm:sqref>F3:F14</xm:sqref>
        </x14:dataValidation>
        <x14:dataValidation type="list" allowBlank="1" showInputMessage="1" showErrorMessage="1" xr:uid="{929947E4-3796-49A4-B595-3CD0D00EFD3F}">
          <x14:formula1>
            <xm:f>Dropdowns!$C$2:$C$4</xm:f>
          </x14:formula1>
          <xm:sqref>G3:G14</xm:sqref>
        </x14:dataValidation>
        <x14:dataValidation type="list" allowBlank="1" showInputMessage="1" showErrorMessage="1" xr:uid="{7D33945A-76E3-45DD-AF4C-C92822CE1E26}">
          <x14:formula1>
            <xm:f>Dropdowns!$D$2:$D$3</xm:f>
          </x14:formula1>
          <xm:sqref>H3:H14</xm:sqref>
        </x14:dataValidation>
        <x14:dataValidation type="list" allowBlank="1" showInputMessage="1" showErrorMessage="1" xr:uid="{A42B2B84-1A11-4379-906A-6BB160A9246C}">
          <x14:formula1>
            <xm:f>Dropdowns!$E$2:$E$3</xm:f>
          </x14:formula1>
          <xm:sqref>I3:I14</xm:sqref>
        </x14:dataValidation>
        <x14:dataValidation type="list" allowBlank="1" showInputMessage="1" showErrorMessage="1" xr:uid="{C8581486-FAC4-4B01-A969-B2DDDFC097C5}">
          <x14:formula1>
            <xm:f>Dropdowns!$F$2:$F$4</xm:f>
          </x14:formula1>
          <xm:sqref>B1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FB37-BC5F-4644-9778-6A55CCACC559}">
  <dimension ref="A2:AD41"/>
  <sheetViews>
    <sheetView workbookViewId="0">
      <selection activeCell="AC41" sqref="Q2:AC41"/>
    </sheetView>
  </sheetViews>
  <sheetFormatPr defaultRowHeight="14.5" x14ac:dyDescent="0.35"/>
  <cols>
    <col min="2" max="2" width="7.6328125" customWidth="1"/>
    <col min="3" max="3" width="10.1796875" customWidth="1"/>
    <col min="4" max="4" width="10" bestFit="1" customWidth="1"/>
    <col min="5" max="5" width="10.36328125" customWidth="1"/>
    <col min="15" max="15" width="3.81640625" bestFit="1" customWidth="1"/>
    <col min="16" max="16" width="12.81640625" customWidth="1"/>
    <col min="20" max="20" width="6.08984375" bestFit="1" customWidth="1"/>
  </cols>
  <sheetData>
    <row r="2" spans="1:30" ht="22" customHeight="1" x14ac:dyDescent="0.5">
      <c r="C2" s="90" t="s">
        <v>40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R2" s="89" t="s">
        <v>56</v>
      </c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</row>
    <row r="3" spans="1:30" s="43" customFormat="1" ht="18" customHeight="1" x14ac:dyDescent="0.5"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</row>
    <row r="4" spans="1:30" ht="18.5" x14ac:dyDescent="0.45">
      <c r="A4" s="93" t="s">
        <v>28</v>
      </c>
      <c r="B4" s="93"/>
      <c r="C4" s="93"/>
      <c r="R4" s="92" t="s">
        <v>22</v>
      </c>
      <c r="S4" s="92"/>
      <c r="T4" s="92"/>
      <c r="U4" s="92"/>
    </row>
    <row r="5" spans="1:30" x14ac:dyDescent="0.35">
      <c r="B5" s="43"/>
      <c r="O5" s="31">
        <v>1.5</v>
      </c>
      <c r="R5" s="30" t="s">
        <v>26</v>
      </c>
      <c r="S5" s="38"/>
      <c r="T5" s="38"/>
      <c r="U5" s="38"/>
    </row>
    <row r="6" spans="1:30" x14ac:dyDescent="0.35">
      <c r="B6" s="36"/>
      <c r="C6" s="36"/>
      <c r="D6" s="36">
        <v>0</v>
      </c>
      <c r="E6" s="36">
        <v>1001</v>
      </c>
      <c r="F6" s="36">
        <v>1501</v>
      </c>
      <c r="G6" s="36">
        <v>2001</v>
      </c>
      <c r="H6" s="36">
        <v>2501</v>
      </c>
      <c r="I6" s="36">
        <v>3001</v>
      </c>
      <c r="J6" s="36">
        <v>3501</v>
      </c>
      <c r="K6" s="36">
        <v>4001</v>
      </c>
      <c r="L6" s="36">
        <v>4501</v>
      </c>
      <c r="M6" s="36">
        <v>5001</v>
      </c>
      <c r="N6" s="36">
        <v>5501</v>
      </c>
      <c r="Q6" s="22"/>
      <c r="R6" s="22"/>
      <c r="S6" s="28">
        <v>0</v>
      </c>
      <c r="T6" s="28">
        <v>1001</v>
      </c>
      <c r="U6" s="28">
        <v>1501</v>
      </c>
      <c r="V6" s="28">
        <v>2001</v>
      </c>
      <c r="W6" s="28">
        <v>2501</v>
      </c>
      <c r="X6" s="28">
        <v>3001</v>
      </c>
      <c r="Y6" s="28">
        <v>3501</v>
      </c>
      <c r="Z6" s="28">
        <v>4001</v>
      </c>
      <c r="AA6" s="28">
        <v>4501</v>
      </c>
      <c r="AB6" s="28">
        <v>5001</v>
      </c>
      <c r="AC6" s="28">
        <v>5501</v>
      </c>
    </row>
    <row r="7" spans="1:30" x14ac:dyDescent="0.35">
      <c r="B7" s="36"/>
      <c r="C7" s="36"/>
      <c r="D7" s="36">
        <v>1000</v>
      </c>
      <c r="E7" s="36">
        <v>1500</v>
      </c>
      <c r="F7" s="36">
        <v>2000</v>
      </c>
      <c r="G7" s="36">
        <v>2500</v>
      </c>
      <c r="H7" s="36">
        <v>3000</v>
      </c>
      <c r="I7" s="36">
        <v>3500</v>
      </c>
      <c r="J7" s="36">
        <v>4000</v>
      </c>
      <c r="K7" s="36">
        <v>4500</v>
      </c>
      <c r="L7" s="36">
        <v>5000</v>
      </c>
      <c r="M7" s="36">
        <v>5500</v>
      </c>
      <c r="N7" s="36">
        <v>6000</v>
      </c>
      <c r="Q7" s="22"/>
      <c r="R7" s="22"/>
      <c r="S7" s="28">
        <v>1000</v>
      </c>
      <c r="T7" s="28">
        <v>1500</v>
      </c>
      <c r="U7" s="28">
        <v>2000</v>
      </c>
      <c r="V7" s="28">
        <v>2500</v>
      </c>
      <c r="W7" s="28">
        <v>3000</v>
      </c>
      <c r="X7" s="28">
        <v>3500</v>
      </c>
      <c r="Y7" s="28">
        <v>4000</v>
      </c>
      <c r="Z7" s="28">
        <v>4500</v>
      </c>
      <c r="AA7" s="28">
        <v>5000</v>
      </c>
      <c r="AB7" s="28">
        <v>5500</v>
      </c>
      <c r="AC7" s="28">
        <v>6000</v>
      </c>
    </row>
    <row r="8" spans="1:30" x14ac:dyDescent="0.35">
      <c r="B8" s="36">
        <v>0</v>
      </c>
      <c r="C8" s="36">
        <v>2500</v>
      </c>
      <c r="D8" s="26">
        <v>80</v>
      </c>
      <c r="E8" s="26">
        <v>140</v>
      </c>
      <c r="F8" s="26">
        <f t="shared" ref="F8:I8" si="0">U8*$O$5</f>
        <v>189</v>
      </c>
      <c r="G8" s="26">
        <v>245</v>
      </c>
      <c r="H8" s="26">
        <v>300</v>
      </c>
      <c r="I8" s="26">
        <f t="shared" si="0"/>
        <v>355.20000000000005</v>
      </c>
      <c r="J8" s="26">
        <v>410</v>
      </c>
      <c r="K8" s="26">
        <v>460</v>
      </c>
      <c r="L8" s="26">
        <v>515</v>
      </c>
      <c r="M8" s="26">
        <v>570</v>
      </c>
      <c r="N8" s="26">
        <v>630</v>
      </c>
      <c r="Q8" s="28">
        <v>0</v>
      </c>
      <c r="R8" s="28">
        <v>2500</v>
      </c>
      <c r="S8" s="39">
        <v>54</v>
      </c>
      <c r="T8" s="39">
        <v>92</v>
      </c>
      <c r="U8" s="39">
        <v>126</v>
      </c>
      <c r="V8" s="39">
        <v>164</v>
      </c>
      <c r="W8" s="39">
        <v>198.4</v>
      </c>
      <c r="X8" s="39">
        <v>236.8</v>
      </c>
      <c r="Y8" s="39">
        <v>274.40000000000003</v>
      </c>
      <c r="Z8" s="39">
        <v>307.20000000000005</v>
      </c>
      <c r="AA8" s="39">
        <v>342.40000000000003</v>
      </c>
      <c r="AB8" s="39">
        <v>379.20000000000005</v>
      </c>
      <c r="AC8" s="39">
        <v>419.20000000000005</v>
      </c>
      <c r="AD8" s="72"/>
    </row>
    <row r="9" spans="1:30" x14ac:dyDescent="0.35">
      <c r="B9" s="66">
        <v>2501</v>
      </c>
      <c r="C9" s="66">
        <v>3400</v>
      </c>
      <c r="D9" s="67">
        <f t="shared" ref="D9:D12" si="1">S9*$O$5</f>
        <v>99</v>
      </c>
      <c r="E9" s="67">
        <v>160</v>
      </c>
      <c r="F9" s="67">
        <f t="shared" ref="F9:F12" si="2">U9*$O$5</f>
        <v>219</v>
      </c>
      <c r="G9" s="67">
        <v>280</v>
      </c>
      <c r="H9" s="67">
        <v>345</v>
      </c>
      <c r="I9" s="67">
        <v>410</v>
      </c>
      <c r="J9" s="67">
        <v>480</v>
      </c>
      <c r="K9" s="67">
        <v>535</v>
      </c>
      <c r="L9" s="67">
        <v>600</v>
      </c>
      <c r="M9" s="67">
        <v>660</v>
      </c>
      <c r="N9" s="67">
        <f t="shared" ref="N9:N12" si="3">AC9*$O$5</f>
        <v>724.80000000000007</v>
      </c>
      <c r="Q9" s="28">
        <v>2501</v>
      </c>
      <c r="R9" s="28">
        <v>3400</v>
      </c>
      <c r="S9" s="39">
        <v>66</v>
      </c>
      <c r="T9" s="39">
        <v>108</v>
      </c>
      <c r="U9" s="39">
        <v>146</v>
      </c>
      <c r="V9" s="39">
        <v>188</v>
      </c>
      <c r="W9" s="39">
        <v>230.4</v>
      </c>
      <c r="X9" s="39">
        <v>272.8</v>
      </c>
      <c r="Y9" s="39">
        <v>318.40000000000003</v>
      </c>
      <c r="Z9" s="39">
        <v>355.20000000000005</v>
      </c>
      <c r="AA9" s="39">
        <v>398.40000000000003</v>
      </c>
      <c r="AB9" s="39">
        <v>439.20000000000005</v>
      </c>
      <c r="AC9" s="39">
        <v>483.20000000000005</v>
      </c>
    </row>
    <row r="10" spans="1:30" x14ac:dyDescent="0.35">
      <c r="B10" s="36">
        <v>3401</v>
      </c>
      <c r="C10" s="36">
        <v>4400</v>
      </c>
      <c r="D10" s="26">
        <v>120</v>
      </c>
      <c r="E10" s="26">
        <v>185</v>
      </c>
      <c r="F10" s="26">
        <v>255</v>
      </c>
      <c r="G10" s="26">
        <v>325</v>
      </c>
      <c r="H10" s="26">
        <v>395</v>
      </c>
      <c r="I10" s="26">
        <v>465</v>
      </c>
      <c r="J10" s="26">
        <v>540</v>
      </c>
      <c r="K10" s="26">
        <f t="shared" ref="K10:K12" si="4">Z10*$O$5</f>
        <v>604.80000000000007</v>
      </c>
      <c r="L10" s="26">
        <v>675</v>
      </c>
      <c r="M10" s="26">
        <v>750</v>
      </c>
      <c r="N10" s="26">
        <v>820</v>
      </c>
      <c r="Q10" s="28">
        <v>3401</v>
      </c>
      <c r="R10" s="28">
        <v>4400</v>
      </c>
      <c r="S10" s="39">
        <v>78</v>
      </c>
      <c r="T10" s="39">
        <v>124</v>
      </c>
      <c r="U10" s="39">
        <v>170</v>
      </c>
      <c r="V10" s="39">
        <v>216</v>
      </c>
      <c r="W10" s="39">
        <v>262.40000000000003</v>
      </c>
      <c r="X10" s="39">
        <v>308.8</v>
      </c>
      <c r="Y10" s="39">
        <v>358.40000000000003</v>
      </c>
      <c r="Z10" s="39">
        <v>403.20000000000005</v>
      </c>
      <c r="AA10" s="39">
        <v>450.40000000000003</v>
      </c>
      <c r="AB10" s="39">
        <v>499.20000000000005</v>
      </c>
      <c r="AC10" s="39">
        <v>547.20000000000005</v>
      </c>
    </row>
    <row r="11" spans="1:30" x14ac:dyDescent="0.35">
      <c r="B11" s="66">
        <v>4401</v>
      </c>
      <c r="C11" s="66">
        <v>5500</v>
      </c>
      <c r="D11" s="67">
        <f t="shared" si="1"/>
        <v>150</v>
      </c>
      <c r="E11" s="67">
        <f t="shared" ref="E11:E12" si="5">T11*$O$5</f>
        <v>225</v>
      </c>
      <c r="F11" s="67">
        <f t="shared" si="2"/>
        <v>300</v>
      </c>
      <c r="G11" s="67">
        <f t="shared" ref="G11:G12" si="6">V11*$O$5</f>
        <v>375</v>
      </c>
      <c r="H11" s="67">
        <f t="shared" ref="H11:H12" si="7">W11*$O$5</f>
        <v>450</v>
      </c>
      <c r="I11" s="67">
        <f t="shared" ref="I11:I12" si="8">X11*$O$5</f>
        <v>525</v>
      </c>
      <c r="J11" s="67">
        <f>Y11*$O$5</f>
        <v>600</v>
      </c>
      <c r="K11" s="67">
        <f t="shared" si="4"/>
        <v>675</v>
      </c>
      <c r="L11" s="67">
        <f t="shared" ref="L11:L12" si="9">AA11*$O$5</f>
        <v>750</v>
      </c>
      <c r="M11" s="67">
        <f t="shared" ref="M11:M12" si="10">AB11*$O$5</f>
        <v>825</v>
      </c>
      <c r="N11" s="67">
        <f t="shared" si="3"/>
        <v>900</v>
      </c>
      <c r="Q11" s="28">
        <v>4401</v>
      </c>
      <c r="R11" s="28">
        <v>5500</v>
      </c>
      <c r="S11" s="39">
        <v>100</v>
      </c>
      <c r="T11" s="39">
        <v>150</v>
      </c>
      <c r="U11" s="39">
        <v>200</v>
      </c>
      <c r="V11" s="39">
        <v>250</v>
      </c>
      <c r="W11" s="39">
        <v>300</v>
      </c>
      <c r="X11" s="39">
        <v>350</v>
      </c>
      <c r="Y11" s="39">
        <v>400</v>
      </c>
      <c r="Z11" s="39">
        <v>450</v>
      </c>
      <c r="AA11" s="39">
        <v>500</v>
      </c>
      <c r="AB11" s="39">
        <v>550</v>
      </c>
      <c r="AC11" s="39">
        <v>600</v>
      </c>
    </row>
    <row r="12" spans="1:30" x14ac:dyDescent="0.35">
      <c r="B12" s="36">
        <v>5501</v>
      </c>
      <c r="C12" s="36">
        <v>6500</v>
      </c>
      <c r="D12" s="26">
        <f t="shared" si="1"/>
        <v>225</v>
      </c>
      <c r="E12" s="26">
        <f t="shared" si="5"/>
        <v>300</v>
      </c>
      <c r="F12" s="26">
        <f t="shared" si="2"/>
        <v>375</v>
      </c>
      <c r="G12" s="26">
        <f t="shared" si="6"/>
        <v>450</v>
      </c>
      <c r="H12" s="26">
        <f t="shared" si="7"/>
        <v>525</v>
      </c>
      <c r="I12" s="26">
        <f t="shared" si="8"/>
        <v>600</v>
      </c>
      <c r="J12" s="26">
        <f>Y12*$O$5</f>
        <v>675</v>
      </c>
      <c r="K12" s="26">
        <f t="shared" si="4"/>
        <v>750</v>
      </c>
      <c r="L12" s="26">
        <f t="shared" si="9"/>
        <v>825</v>
      </c>
      <c r="M12" s="26">
        <f t="shared" si="10"/>
        <v>900</v>
      </c>
      <c r="N12" s="26">
        <f t="shared" si="3"/>
        <v>975</v>
      </c>
      <c r="Q12" s="28">
        <v>5501</v>
      </c>
      <c r="R12" s="28">
        <v>6500</v>
      </c>
      <c r="S12" s="39">
        <v>150</v>
      </c>
      <c r="T12" s="39">
        <v>200</v>
      </c>
      <c r="U12" s="39">
        <v>250</v>
      </c>
      <c r="V12" s="39">
        <v>300</v>
      </c>
      <c r="W12" s="39">
        <v>350</v>
      </c>
      <c r="X12" s="39">
        <v>400</v>
      </c>
      <c r="Y12" s="39">
        <v>450</v>
      </c>
      <c r="Z12" s="39">
        <v>500</v>
      </c>
      <c r="AA12" s="39">
        <v>550</v>
      </c>
      <c r="AB12" s="39">
        <v>600</v>
      </c>
      <c r="AC12" s="39">
        <v>650</v>
      </c>
    </row>
    <row r="13" spans="1:30" x14ac:dyDescent="0.35">
      <c r="B13" s="24"/>
      <c r="C13" s="24"/>
      <c r="D13" s="24"/>
      <c r="E13" s="29"/>
      <c r="F13" s="29"/>
      <c r="G13" s="29"/>
      <c r="H13" s="29"/>
      <c r="I13" s="29"/>
      <c r="J13" s="29"/>
      <c r="K13" s="29"/>
      <c r="L13" s="29"/>
      <c r="M13" s="29"/>
      <c r="N13" s="29"/>
      <c r="P13" s="29"/>
    </row>
    <row r="14" spans="1:30" ht="18.5" x14ac:dyDescent="0.45"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P14" s="29"/>
      <c r="R14" s="92" t="s">
        <v>27</v>
      </c>
      <c r="S14" s="92"/>
      <c r="T14" s="92"/>
      <c r="U14" s="92"/>
      <c r="V14" s="92"/>
    </row>
    <row r="15" spans="1:30" x14ac:dyDescent="0.35">
      <c r="P15" s="29"/>
      <c r="R15" s="30" t="s">
        <v>26</v>
      </c>
      <c r="S15" s="25"/>
      <c r="T15" s="25"/>
    </row>
    <row r="16" spans="1:30" ht="15.5" x14ac:dyDescent="0.35">
      <c r="A16" s="91" t="s">
        <v>29</v>
      </c>
      <c r="B16" s="91"/>
      <c r="C16" s="91"/>
      <c r="P16" s="29"/>
      <c r="Q16" s="22"/>
      <c r="R16" s="22"/>
      <c r="S16" s="28">
        <v>0</v>
      </c>
      <c r="T16" s="28">
        <v>1001</v>
      </c>
      <c r="U16" s="28">
        <v>1501</v>
      </c>
      <c r="V16" s="28">
        <v>2001</v>
      </c>
      <c r="W16" s="28">
        <v>2501</v>
      </c>
      <c r="X16" s="28">
        <v>3001</v>
      </c>
      <c r="Y16" s="28">
        <v>3501</v>
      </c>
      <c r="Z16" s="28">
        <v>4001</v>
      </c>
      <c r="AA16" s="28">
        <v>4501</v>
      </c>
      <c r="AB16" s="28">
        <v>5001</v>
      </c>
      <c r="AC16" s="28">
        <v>5501</v>
      </c>
    </row>
    <row r="17" spans="1:29" x14ac:dyDescent="0.35">
      <c r="P17" s="29"/>
      <c r="Q17" s="22"/>
      <c r="R17" s="22"/>
      <c r="S17" s="28">
        <v>1000</v>
      </c>
      <c r="T17" s="28">
        <v>1500</v>
      </c>
      <c r="U17" s="28">
        <v>2000</v>
      </c>
      <c r="V17" s="28">
        <v>2500</v>
      </c>
      <c r="W17" s="28">
        <v>3000</v>
      </c>
      <c r="X17" s="28">
        <v>3500</v>
      </c>
      <c r="Y17" s="28">
        <v>4000</v>
      </c>
      <c r="Z17" s="28">
        <v>4500</v>
      </c>
      <c r="AA17" s="28">
        <v>5000</v>
      </c>
      <c r="AB17" s="28">
        <v>5500</v>
      </c>
      <c r="AC17" s="28">
        <v>6000</v>
      </c>
    </row>
    <row r="18" spans="1:29" x14ac:dyDescent="0.35">
      <c r="B18" s="27"/>
      <c r="C18" s="27"/>
      <c r="D18" s="27">
        <v>0</v>
      </c>
      <c r="E18" s="27">
        <v>1001</v>
      </c>
      <c r="F18" s="27">
        <v>1501</v>
      </c>
      <c r="G18" s="27">
        <v>2001</v>
      </c>
      <c r="H18" s="27">
        <v>2501</v>
      </c>
      <c r="I18" s="27">
        <v>3001</v>
      </c>
      <c r="J18" s="27">
        <v>3501</v>
      </c>
      <c r="K18" s="27">
        <v>4001</v>
      </c>
      <c r="L18" s="27">
        <v>4501</v>
      </c>
      <c r="M18" s="27">
        <v>5001</v>
      </c>
      <c r="N18" s="27">
        <v>5501</v>
      </c>
      <c r="P18" s="29"/>
      <c r="Q18" s="28">
        <v>0</v>
      </c>
      <c r="R18" s="28">
        <v>2500</v>
      </c>
      <c r="S18" s="40">
        <v>87.2</v>
      </c>
      <c r="T18" s="40">
        <v>124.80000000000001</v>
      </c>
      <c r="U18" s="40">
        <v>164</v>
      </c>
      <c r="V18" s="40">
        <v>205.60000000000002</v>
      </c>
      <c r="W18" s="40">
        <v>240.8</v>
      </c>
      <c r="X18" s="40">
        <v>282.40000000000003</v>
      </c>
      <c r="Y18" s="40">
        <v>322.40000000000003</v>
      </c>
      <c r="Z18" s="40">
        <v>359.20000000000005</v>
      </c>
      <c r="AA18" s="40">
        <v>400.8</v>
      </c>
      <c r="AB18" s="40">
        <v>437.6</v>
      </c>
      <c r="AC18" s="40">
        <v>476.8</v>
      </c>
    </row>
    <row r="19" spans="1:29" x14ac:dyDescent="0.35">
      <c r="B19" s="27"/>
      <c r="C19" s="27"/>
      <c r="D19" s="27">
        <v>1000</v>
      </c>
      <c r="E19" s="27">
        <v>1500</v>
      </c>
      <c r="F19" s="27">
        <v>2000</v>
      </c>
      <c r="G19" s="27">
        <v>2500</v>
      </c>
      <c r="H19" s="27">
        <v>3000</v>
      </c>
      <c r="I19" s="27">
        <v>3500</v>
      </c>
      <c r="J19" s="27">
        <v>4000</v>
      </c>
      <c r="K19" s="27">
        <v>4500</v>
      </c>
      <c r="L19" s="27">
        <v>5000</v>
      </c>
      <c r="M19" s="27">
        <v>5500</v>
      </c>
      <c r="N19" s="27">
        <v>6000</v>
      </c>
      <c r="P19" s="29"/>
      <c r="Q19" s="28">
        <v>2501</v>
      </c>
      <c r="R19" s="28">
        <v>3400</v>
      </c>
      <c r="S19" s="40">
        <v>95.2</v>
      </c>
      <c r="T19" s="40">
        <v>140.80000000000001</v>
      </c>
      <c r="U19" s="40">
        <v>184</v>
      </c>
      <c r="V19" s="40">
        <v>229.60000000000002</v>
      </c>
      <c r="W19" s="40">
        <v>272.8</v>
      </c>
      <c r="X19" s="40">
        <v>318.40000000000003</v>
      </c>
      <c r="Y19" s="40">
        <v>362.40000000000003</v>
      </c>
      <c r="Z19" s="40">
        <v>407.20000000000005</v>
      </c>
      <c r="AA19" s="40">
        <v>448.8</v>
      </c>
      <c r="AB19" s="40">
        <v>493.6</v>
      </c>
      <c r="AC19" s="40">
        <v>536.80000000000007</v>
      </c>
    </row>
    <row r="20" spans="1:29" x14ac:dyDescent="0.35">
      <c r="B20" s="27">
        <v>0</v>
      </c>
      <c r="C20" s="27">
        <v>2500</v>
      </c>
      <c r="D20" s="21">
        <v>168</v>
      </c>
      <c r="E20" s="21">
        <v>246</v>
      </c>
      <c r="F20" s="21">
        <v>330</v>
      </c>
      <c r="G20" s="21">
        <v>408</v>
      </c>
      <c r="H20" s="21">
        <v>492</v>
      </c>
      <c r="I20" s="21">
        <v>582</v>
      </c>
      <c r="J20" s="21">
        <v>666</v>
      </c>
      <c r="K20" s="21">
        <v>744</v>
      </c>
      <c r="L20" s="21">
        <v>744</v>
      </c>
      <c r="M20" s="21">
        <v>828</v>
      </c>
      <c r="N20" s="21">
        <v>906</v>
      </c>
      <c r="P20" s="29"/>
      <c r="Q20" s="28">
        <v>3401</v>
      </c>
      <c r="R20" s="28">
        <v>4400</v>
      </c>
      <c r="S20" s="40">
        <v>107.2</v>
      </c>
      <c r="T20" s="40">
        <v>156.80000000000001</v>
      </c>
      <c r="U20" s="40">
        <v>208</v>
      </c>
      <c r="V20" s="40">
        <v>257.60000000000002</v>
      </c>
      <c r="W20" s="40">
        <v>308.8</v>
      </c>
      <c r="X20" s="40">
        <v>362.40000000000003</v>
      </c>
      <c r="Y20" s="40">
        <v>410.40000000000003</v>
      </c>
      <c r="Z20" s="40">
        <v>459.20000000000005</v>
      </c>
      <c r="AA20" s="40">
        <v>508.8</v>
      </c>
      <c r="AB20" s="40">
        <v>557.6</v>
      </c>
      <c r="AC20" s="40">
        <v>608.80000000000007</v>
      </c>
    </row>
    <row r="21" spans="1:29" x14ac:dyDescent="0.35">
      <c r="B21" s="68">
        <v>2501</v>
      </c>
      <c r="C21" s="68">
        <v>3400</v>
      </c>
      <c r="D21" s="68">
        <v>180</v>
      </c>
      <c r="E21" s="68">
        <v>270</v>
      </c>
      <c r="F21" s="68">
        <v>360</v>
      </c>
      <c r="G21" s="68">
        <v>444</v>
      </c>
      <c r="H21" s="68">
        <v>540</v>
      </c>
      <c r="I21" s="68">
        <v>630</v>
      </c>
      <c r="J21" s="68">
        <v>720</v>
      </c>
      <c r="K21" s="68">
        <v>810</v>
      </c>
      <c r="L21" s="68">
        <v>804</v>
      </c>
      <c r="M21" s="68">
        <v>894</v>
      </c>
      <c r="N21" s="68">
        <v>984</v>
      </c>
      <c r="P21" s="29"/>
      <c r="Q21" s="28">
        <v>4401</v>
      </c>
      <c r="R21" s="28">
        <v>5500</v>
      </c>
      <c r="S21" s="40">
        <v>124</v>
      </c>
      <c r="T21" s="40">
        <v>172.8</v>
      </c>
      <c r="U21" s="40">
        <v>236</v>
      </c>
      <c r="V21" s="40">
        <v>284</v>
      </c>
      <c r="W21" s="40">
        <v>344</v>
      </c>
      <c r="X21" s="40">
        <v>400</v>
      </c>
      <c r="Y21" s="40">
        <v>450.40000000000003</v>
      </c>
      <c r="Z21" s="40">
        <v>504</v>
      </c>
      <c r="AA21" s="40">
        <v>560</v>
      </c>
      <c r="AB21" s="40">
        <v>621.6</v>
      </c>
      <c r="AC21" s="40">
        <v>680.80000000000007</v>
      </c>
    </row>
    <row r="22" spans="1:29" x14ac:dyDescent="0.35">
      <c r="B22" s="27">
        <v>3401</v>
      </c>
      <c r="C22" s="27">
        <v>4400</v>
      </c>
      <c r="D22" s="21">
        <v>198</v>
      </c>
      <c r="E22" s="21">
        <v>294</v>
      </c>
      <c r="F22" s="21">
        <v>390</v>
      </c>
      <c r="G22" s="21">
        <v>492</v>
      </c>
      <c r="H22" s="21">
        <v>588</v>
      </c>
      <c r="I22" s="21">
        <v>690</v>
      </c>
      <c r="J22" s="21">
        <v>786</v>
      </c>
      <c r="K22" s="21">
        <v>882</v>
      </c>
      <c r="L22" s="21">
        <v>906</v>
      </c>
      <c r="M22" s="21">
        <v>978</v>
      </c>
      <c r="N22" s="21">
        <v>1080</v>
      </c>
      <c r="P22" s="29"/>
      <c r="Q22" s="28">
        <v>5501</v>
      </c>
      <c r="R22" s="28">
        <v>6500</v>
      </c>
      <c r="S22" s="40">
        <v>144</v>
      </c>
      <c r="T22" s="40">
        <v>188.8</v>
      </c>
      <c r="U22" s="40">
        <v>264</v>
      </c>
      <c r="V22" s="40">
        <v>312</v>
      </c>
      <c r="W22" s="40">
        <v>380</v>
      </c>
      <c r="X22" s="40">
        <v>440</v>
      </c>
      <c r="Y22" s="40">
        <v>490.40000000000003</v>
      </c>
      <c r="Z22" s="40">
        <v>552</v>
      </c>
      <c r="AA22" s="40">
        <v>616</v>
      </c>
      <c r="AB22" s="40">
        <v>680</v>
      </c>
      <c r="AC22" s="40">
        <v>752</v>
      </c>
    </row>
    <row r="23" spans="1:29" x14ac:dyDescent="0.35">
      <c r="B23" s="68">
        <v>4401</v>
      </c>
      <c r="C23" s="68">
        <v>5500</v>
      </c>
      <c r="D23" s="68">
        <v>216</v>
      </c>
      <c r="E23" s="68">
        <v>324</v>
      </c>
      <c r="F23" s="68">
        <v>420</v>
      </c>
      <c r="G23" s="68">
        <v>528</v>
      </c>
      <c r="H23" s="68">
        <v>648</v>
      </c>
      <c r="I23" s="68">
        <v>750</v>
      </c>
      <c r="J23" s="68">
        <v>846</v>
      </c>
      <c r="K23" s="68">
        <v>954</v>
      </c>
      <c r="L23" s="68">
        <v>978</v>
      </c>
      <c r="M23" s="68">
        <v>1044</v>
      </c>
      <c r="N23" s="68">
        <v>1176</v>
      </c>
      <c r="P23" s="29"/>
    </row>
    <row r="24" spans="1:29" x14ac:dyDescent="0.35">
      <c r="B24" s="27">
        <v>5501</v>
      </c>
      <c r="C24" s="27">
        <v>6000</v>
      </c>
      <c r="D24" s="21">
        <v>300</v>
      </c>
      <c r="E24" s="21">
        <v>390</v>
      </c>
      <c r="F24" s="21">
        <v>462</v>
      </c>
      <c r="G24" s="21">
        <v>576</v>
      </c>
      <c r="H24" s="21">
        <v>708</v>
      </c>
      <c r="I24" s="21">
        <v>810</v>
      </c>
      <c r="J24" s="21">
        <v>912</v>
      </c>
      <c r="K24" s="21">
        <v>1038</v>
      </c>
      <c r="L24" s="21">
        <v>1062</v>
      </c>
      <c r="M24" s="21">
        <v>1116</v>
      </c>
      <c r="N24" s="21">
        <v>1296</v>
      </c>
      <c r="P24" s="29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 spans="1:29" ht="18.5" x14ac:dyDescent="0.45"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P25" s="29"/>
      <c r="R25" s="88" t="s">
        <v>21</v>
      </c>
      <c r="S25" s="88"/>
      <c r="T25" s="88"/>
      <c r="U25" s="88"/>
      <c r="V25" s="88"/>
    </row>
    <row r="26" spans="1:29" x14ac:dyDescent="0.35">
      <c r="R26" s="22"/>
      <c r="S26" s="22">
        <v>0</v>
      </c>
      <c r="T26" s="22">
        <v>1001</v>
      </c>
      <c r="U26" s="22">
        <v>1501</v>
      </c>
      <c r="V26" s="22">
        <v>2001</v>
      </c>
      <c r="W26" s="22">
        <v>2501</v>
      </c>
      <c r="X26" s="22">
        <v>3001</v>
      </c>
      <c r="Y26" s="22">
        <v>3501</v>
      </c>
      <c r="Z26" s="22">
        <v>4001</v>
      </c>
      <c r="AA26" s="22">
        <v>4501</v>
      </c>
      <c r="AB26" s="22">
        <v>5001</v>
      </c>
      <c r="AC26" s="22">
        <v>5501</v>
      </c>
    </row>
    <row r="27" spans="1:29" x14ac:dyDescent="0.35">
      <c r="R27" s="22"/>
      <c r="S27" s="22">
        <v>1000</v>
      </c>
      <c r="T27" s="22">
        <v>1500</v>
      </c>
      <c r="U27" s="22">
        <v>2000</v>
      </c>
      <c r="V27" s="22">
        <v>2500</v>
      </c>
      <c r="W27" s="22">
        <v>3000</v>
      </c>
      <c r="X27" s="22">
        <v>3500</v>
      </c>
      <c r="Y27" s="22">
        <v>4000</v>
      </c>
      <c r="Z27" s="22">
        <v>4500</v>
      </c>
      <c r="AA27" s="22">
        <v>5000</v>
      </c>
      <c r="AB27" s="22">
        <v>5500</v>
      </c>
      <c r="AC27" s="22">
        <v>6000</v>
      </c>
    </row>
    <row r="28" spans="1:29" ht="15.5" x14ac:dyDescent="0.35">
      <c r="A28" s="46" t="s">
        <v>30</v>
      </c>
      <c r="B28" s="42"/>
      <c r="C28" s="42"/>
      <c r="D28" s="42"/>
      <c r="Q28" s="22">
        <v>0</v>
      </c>
      <c r="R28" s="22">
        <v>2500</v>
      </c>
      <c r="S28" s="39">
        <v>114.4</v>
      </c>
      <c r="T28" s="39">
        <v>172</v>
      </c>
      <c r="U28" s="39">
        <v>230.4</v>
      </c>
      <c r="V28" s="39">
        <v>228</v>
      </c>
      <c r="W28" s="39">
        <v>286.40000000000003</v>
      </c>
      <c r="X28" s="39">
        <v>344.8</v>
      </c>
      <c r="Y28" s="39">
        <v>402.40000000000003</v>
      </c>
      <c r="Z28" s="39">
        <v>459.20000000000005</v>
      </c>
      <c r="AA28" s="39">
        <v>486.40000000000003</v>
      </c>
      <c r="AB28" s="39">
        <v>515.20000000000005</v>
      </c>
      <c r="AC28" s="39">
        <v>575.20000000000005</v>
      </c>
    </row>
    <row r="29" spans="1:29" x14ac:dyDescent="0.35">
      <c r="A29" s="87" t="s">
        <v>13</v>
      </c>
      <c r="B29" s="87"/>
      <c r="C29" s="42" t="s">
        <v>25</v>
      </c>
      <c r="D29" s="42"/>
      <c r="Q29" s="22">
        <v>2501</v>
      </c>
      <c r="R29" s="22">
        <v>3400</v>
      </c>
      <c r="S29" s="39">
        <v>126.4</v>
      </c>
      <c r="T29" s="39">
        <v>188</v>
      </c>
      <c r="U29" s="39">
        <v>250.4</v>
      </c>
      <c r="V29" s="39">
        <v>252</v>
      </c>
      <c r="W29" s="39">
        <v>314.40000000000003</v>
      </c>
      <c r="X29" s="39">
        <v>376.8</v>
      </c>
      <c r="Y29" s="39">
        <v>442.40000000000003</v>
      </c>
      <c r="Z29" s="39">
        <v>519.20000000000005</v>
      </c>
      <c r="AA29" s="39">
        <v>542.4</v>
      </c>
      <c r="AB29" s="39">
        <v>567.20000000000005</v>
      </c>
      <c r="AC29" s="39">
        <v>627.20000000000005</v>
      </c>
    </row>
    <row r="30" spans="1:29" x14ac:dyDescent="0.35">
      <c r="Q30" s="22">
        <v>3401</v>
      </c>
      <c r="R30" s="22">
        <v>4400</v>
      </c>
      <c r="S30" s="39">
        <v>134.4</v>
      </c>
      <c r="T30" s="39">
        <v>204</v>
      </c>
      <c r="U30" s="39">
        <v>274.40000000000003</v>
      </c>
      <c r="V30" s="39">
        <v>272</v>
      </c>
      <c r="W30" s="39">
        <v>342.40000000000003</v>
      </c>
      <c r="X30" s="39">
        <v>412.8</v>
      </c>
      <c r="Y30" s="39">
        <v>478.40000000000003</v>
      </c>
      <c r="Z30" s="39">
        <v>547.20000000000005</v>
      </c>
      <c r="AA30" s="39">
        <v>580</v>
      </c>
      <c r="AB30" s="39">
        <v>615.20000000000005</v>
      </c>
      <c r="AC30" s="39">
        <v>683.2</v>
      </c>
    </row>
    <row r="31" spans="1:29" x14ac:dyDescent="0.35">
      <c r="Q31" s="22">
        <v>4401</v>
      </c>
      <c r="R31" s="22">
        <v>5500</v>
      </c>
      <c r="S31" s="39">
        <v>148</v>
      </c>
      <c r="T31" s="39">
        <v>220</v>
      </c>
      <c r="U31" s="39">
        <v>298.40000000000003</v>
      </c>
      <c r="V31" s="39">
        <v>296</v>
      </c>
      <c r="W31" s="39">
        <v>368</v>
      </c>
      <c r="X31" s="39">
        <v>440</v>
      </c>
      <c r="Y31" s="39">
        <v>520</v>
      </c>
      <c r="Z31" s="39">
        <v>576</v>
      </c>
      <c r="AA31" s="39">
        <v>624</v>
      </c>
      <c r="AB31" s="39">
        <v>776</v>
      </c>
      <c r="AC31" s="39">
        <v>856</v>
      </c>
    </row>
    <row r="32" spans="1:29" ht="47.5" customHeight="1" x14ac:dyDescent="0.35">
      <c r="B32" s="94" t="s">
        <v>37</v>
      </c>
      <c r="C32" s="95"/>
      <c r="Q32" s="22">
        <v>5501</v>
      </c>
      <c r="R32" s="22">
        <v>6000</v>
      </c>
      <c r="S32" s="39">
        <v>164</v>
      </c>
      <c r="T32" s="39">
        <v>236</v>
      </c>
      <c r="U32" s="39">
        <v>322.40000000000003</v>
      </c>
      <c r="V32" s="39">
        <v>320</v>
      </c>
      <c r="W32" s="39">
        <v>392</v>
      </c>
      <c r="X32" s="39">
        <v>472</v>
      </c>
      <c r="Y32" s="39">
        <v>560</v>
      </c>
      <c r="Z32" s="39">
        <v>640</v>
      </c>
      <c r="AA32" s="39">
        <v>688</v>
      </c>
      <c r="AB32" s="39">
        <v>744</v>
      </c>
      <c r="AC32" s="39">
        <v>840</v>
      </c>
    </row>
    <row r="33" spans="2:29" ht="37" x14ac:dyDescent="0.35">
      <c r="B33" s="63" t="s">
        <v>38</v>
      </c>
      <c r="C33" s="60" t="s">
        <v>39</v>
      </c>
    </row>
    <row r="34" spans="2:29" ht="18.5" x14ac:dyDescent="0.45">
      <c r="B34" s="61">
        <v>1000</v>
      </c>
      <c r="C34" s="62">
        <v>50</v>
      </c>
      <c r="R34" s="88" t="s">
        <v>20</v>
      </c>
      <c r="S34" s="88"/>
      <c r="T34" s="88"/>
      <c r="U34" s="88"/>
      <c r="V34" s="88"/>
    </row>
    <row r="35" spans="2:29" ht="18.5" x14ac:dyDescent="0.45">
      <c r="B35" s="61">
        <v>2000</v>
      </c>
      <c r="C35" s="62">
        <v>70</v>
      </c>
      <c r="Q35" s="37"/>
      <c r="R35" s="22"/>
      <c r="S35" s="22">
        <v>0</v>
      </c>
      <c r="T35" s="22">
        <v>1001</v>
      </c>
      <c r="U35" s="22">
        <v>1501</v>
      </c>
      <c r="V35" s="22">
        <v>2001</v>
      </c>
      <c r="W35" s="22">
        <v>2501</v>
      </c>
      <c r="X35" s="22">
        <v>3001</v>
      </c>
      <c r="Y35" s="22">
        <v>3501</v>
      </c>
      <c r="Z35" s="22">
        <v>4001</v>
      </c>
      <c r="AA35" s="22">
        <v>4501</v>
      </c>
      <c r="AB35" s="22">
        <v>5001</v>
      </c>
      <c r="AC35" s="22">
        <v>5501</v>
      </c>
    </row>
    <row r="36" spans="2:29" ht="18.5" x14ac:dyDescent="0.45">
      <c r="B36" s="61">
        <v>3000</v>
      </c>
      <c r="C36" s="62">
        <v>100</v>
      </c>
      <c r="Q36" s="37"/>
      <c r="R36" s="22"/>
      <c r="S36" s="22">
        <v>1000</v>
      </c>
      <c r="T36" s="22">
        <v>1500</v>
      </c>
      <c r="U36" s="22">
        <v>2000</v>
      </c>
      <c r="V36" s="22">
        <v>2500</v>
      </c>
      <c r="W36" s="22">
        <v>3000</v>
      </c>
      <c r="X36" s="22">
        <v>3500</v>
      </c>
      <c r="Y36" s="22">
        <v>4000</v>
      </c>
      <c r="Z36" s="22">
        <v>4500</v>
      </c>
      <c r="AA36" s="22">
        <v>5000</v>
      </c>
      <c r="AB36" s="22">
        <v>5500</v>
      </c>
      <c r="AC36" s="22">
        <v>6000</v>
      </c>
    </row>
    <row r="37" spans="2:29" ht="18.5" x14ac:dyDescent="0.45">
      <c r="B37" s="61">
        <v>4000</v>
      </c>
      <c r="C37" s="62">
        <v>130</v>
      </c>
      <c r="Q37" s="22">
        <v>0</v>
      </c>
      <c r="R37" s="22">
        <v>2500</v>
      </c>
      <c r="S37" s="41">
        <v>111.2</v>
      </c>
      <c r="T37" s="41">
        <v>164.8</v>
      </c>
      <c r="U37" s="41">
        <v>220</v>
      </c>
      <c r="V37" s="41">
        <v>273.60000000000002</v>
      </c>
      <c r="W37" s="41">
        <v>328.8</v>
      </c>
      <c r="X37" s="41">
        <v>386.40000000000003</v>
      </c>
      <c r="Y37" s="41">
        <v>442.40000000000003</v>
      </c>
      <c r="Z37" s="41">
        <v>495.20000000000005</v>
      </c>
      <c r="AA37" s="41">
        <v>496.8</v>
      </c>
      <c r="AB37" s="41">
        <v>549.6</v>
      </c>
      <c r="AC37" s="41">
        <v>604.80000000000007</v>
      </c>
    </row>
    <row r="38" spans="2:29" ht="18.5" x14ac:dyDescent="0.45">
      <c r="B38" s="61">
        <v>5000</v>
      </c>
      <c r="C38" s="62">
        <v>170</v>
      </c>
      <c r="Q38" s="22">
        <v>2501</v>
      </c>
      <c r="R38" s="22">
        <v>3400</v>
      </c>
      <c r="S38" s="41">
        <v>119.2</v>
      </c>
      <c r="T38" s="41">
        <v>180.8</v>
      </c>
      <c r="U38" s="41">
        <v>240</v>
      </c>
      <c r="V38" s="41">
        <v>297.60000000000002</v>
      </c>
      <c r="W38" s="41">
        <v>360.8</v>
      </c>
      <c r="X38" s="41">
        <v>418.40000000000003</v>
      </c>
      <c r="Y38" s="41">
        <v>478.40000000000003</v>
      </c>
      <c r="Z38" s="41">
        <v>539.20000000000005</v>
      </c>
      <c r="AA38" s="41">
        <v>536.80000000000007</v>
      </c>
      <c r="AB38" s="41">
        <v>597.6</v>
      </c>
      <c r="AC38" s="41">
        <v>656.80000000000007</v>
      </c>
    </row>
    <row r="39" spans="2:29" ht="18.5" x14ac:dyDescent="0.45">
      <c r="B39" s="61">
        <v>6000</v>
      </c>
      <c r="C39" s="62">
        <v>200</v>
      </c>
      <c r="Q39" s="22">
        <v>3401</v>
      </c>
      <c r="R39" s="22">
        <v>4400</v>
      </c>
      <c r="S39" s="41">
        <v>131.20000000000002</v>
      </c>
      <c r="T39" s="41">
        <v>196.8</v>
      </c>
      <c r="U39" s="41">
        <v>260</v>
      </c>
      <c r="V39" s="41">
        <v>325.60000000000002</v>
      </c>
      <c r="W39" s="41">
        <v>392.8</v>
      </c>
      <c r="X39" s="41">
        <v>458.40000000000003</v>
      </c>
      <c r="Y39" s="41">
        <v>522.4</v>
      </c>
      <c r="Z39" s="41">
        <v>587.20000000000005</v>
      </c>
      <c r="AA39" s="41">
        <v>588.80000000000007</v>
      </c>
      <c r="AB39" s="41">
        <v>653.6</v>
      </c>
      <c r="AC39" s="41">
        <v>720.80000000000007</v>
      </c>
    </row>
    <row r="40" spans="2:29" x14ac:dyDescent="0.35">
      <c r="Q40" s="22">
        <v>4401</v>
      </c>
      <c r="R40" s="22">
        <v>5500</v>
      </c>
      <c r="S40" s="41">
        <v>144</v>
      </c>
      <c r="T40" s="41">
        <v>212.8</v>
      </c>
      <c r="U40" s="41">
        <v>280</v>
      </c>
      <c r="V40" s="41">
        <v>352</v>
      </c>
      <c r="W40" s="41">
        <v>424.8</v>
      </c>
      <c r="X40" s="41">
        <v>498.40000000000003</v>
      </c>
      <c r="Y40" s="41">
        <v>560</v>
      </c>
      <c r="Z40" s="41">
        <v>640</v>
      </c>
      <c r="AA40" s="41">
        <v>648</v>
      </c>
      <c r="AB40" s="41">
        <v>704</v>
      </c>
      <c r="AC40" s="41">
        <v>784</v>
      </c>
    </row>
    <row r="41" spans="2:29" x14ac:dyDescent="0.35">
      <c r="Q41" s="22">
        <v>5501</v>
      </c>
      <c r="R41" s="22">
        <v>6000</v>
      </c>
      <c r="S41" s="41">
        <v>176</v>
      </c>
      <c r="T41" s="41">
        <v>228.8</v>
      </c>
      <c r="U41" s="41">
        <v>300</v>
      </c>
      <c r="V41" s="41">
        <v>376</v>
      </c>
      <c r="W41" s="41">
        <v>456.8</v>
      </c>
      <c r="X41" s="41">
        <v>538.4</v>
      </c>
      <c r="Y41" s="41">
        <v>600</v>
      </c>
      <c r="Z41" s="41">
        <v>680</v>
      </c>
      <c r="AA41" s="41">
        <v>704</v>
      </c>
      <c r="AB41" s="41">
        <v>752</v>
      </c>
      <c r="AC41" s="41">
        <v>864</v>
      </c>
    </row>
  </sheetData>
  <mergeCells count="10">
    <mergeCell ref="A29:B29"/>
    <mergeCell ref="R25:V25"/>
    <mergeCell ref="R34:V34"/>
    <mergeCell ref="R2:AC2"/>
    <mergeCell ref="C2:N2"/>
    <mergeCell ref="A16:C16"/>
    <mergeCell ref="R4:U4"/>
    <mergeCell ref="A4:C4"/>
    <mergeCell ref="R14:V14"/>
    <mergeCell ref="B32:C3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88177-4D36-4E3F-B153-4F0A764854A0}">
  <dimension ref="A1:F4"/>
  <sheetViews>
    <sheetView workbookViewId="0">
      <selection activeCell="C9" sqref="C9"/>
    </sheetView>
  </sheetViews>
  <sheetFormatPr defaultRowHeight="14.5" x14ac:dyDescent="0.35"/>
  <cols>
    <col min="1" max="1" width="14.54296875" bestFit="1" customWidth="1"/>
    <col min="2" max="2" width="9.90625" bestFit="1" customWidth="1"/>
    <col min="6" max="6" width="29.90625" bestFit="1" customWidth="1"/>
  </cols>
  <sheetData>
    <row r="1" spans="1:6" x14ac:dyDescent="0.35">
      <c r="A1" s="22" t="s">
        <v>41</v>
      </c>
      <c r="B1" s="22" t="s">
        <v>17</v>
      </c>
      <c r="C1" s="22" t="s">
        <v>12</v>
      </c>
      <c r="D1" s="22" t="s">
        <v>16</v>
      </c>
      <c r="E1" s="22" t="s">
        <v>32</v>
      </c>
      <c r="F1" s="22" t="s">
        <v>52</v>
      </c>
    </row>
    <row r="2" spans="1:6" x14ac:dyDescent="0.35">
      <c r="A2" t="s">
        <v>19</v>
      </c>
      <c r="B2" t="s">
        <v>31</v>
      </c>
      <c r="C2" t="s">
        <v>69</v>
      </c>
      <c r="D2" t="s">
        <v>18</v>
      </c>
      <c r="E2" t="s">
        <v>33</v>
      </c>
      <c r="F2" t="s">
        <v>46</v>
      </c>
    </row>
    <row r="3" spans="1:6" x14ac:dyDescent="0.35">
      <c r="A3" t="s">
        <v>58</v>
      </c>
      <c r="B3" t="s">
        <v>43</v>
      </c>
      <c r="C3" t="s">
        <v>70</v>
      </c>
      <c r="D3" t="s">
        <v>42</v>
      </c>
      <c r="E3" t="s">
        <v>59</v>
      </c>
      <c r="F3" t="s">
        <v>44</v>
      </c>
    </row>
    <row r="4" spans="1:6" x14ac:dyDescent="0.35">
      <c r="C4" t="s">
        <v>71</v>
      </c>
      <c r="F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Quotation</vt:lpstr>
      <vt:lpstr>Measurements</vt:lpstr>
      <vt:lpstr>Curtain Pricing</vt:lpstr>
      <vt:lpstr>Dropdowns</vt:lpstr>
      <vt:lpstr>Quotation!Print_Area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Ke</dc:creator>
  <cp:lastModifiedBy>Susan Ke</cp:lastModifiedBy>
  <cp:lastPrinted>2025-06-25T06:26:09Z</cp:lastPrinted>
  <dcterms:created xsi:type="dcterms:W3CDTF">2025-03-12T04:04:35Z</dcterms:created>
  <dcterms:modified xsi:type="dcterms:W3CDTF">2026-02-25T02:00:46Z</dcterms:modified>
</cp:coreProperties>
</file>